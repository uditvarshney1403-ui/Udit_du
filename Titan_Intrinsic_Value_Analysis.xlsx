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1.xml" ContentType="application/vnd.openxmlformats-officedocument.drawing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Financial_Data" sheetId="2" state="visible" r:id="rId2"/>
    <sheet name="Beta_Estimation" sheetId="3" state="visible" r:id="rId3"/>
    <sheet name="CAPM_Cost_of_Equity" sheetId="4" state="visible" r:id="rId4"/>
    <sheet name="Growth_Rate" sheetId="5" state="visible" r:id="rId5"/>
    <sheet name="FCFE_Valuation" sheetId="6" state="visible" r:id="rId6"/>
    <sheet name="Sensitivity_Analysis" sheetId="7" state="visible" r:id="rId7"/>
    <sheet name="Investment_Assessmen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0"/>
    <numFmt numFmtId="165" formatCode="0.0000"/>
    <numFmt numFmtId="166" formatCode="#,##0.0"/>
    <numFmt numFmtId="167" formatCode="0.00000"/>
    <numFmt numFmtId="168" formatCode="#,##0.0×"/>
  </numFmts>
  <fonts count="19">
    <font>
      <name val="Calibri"/>
      <family val="2"/>
      <color theme="1"/>
      <sz val="11"/>
      <scheme val="minor"/>
    </font>
    <font>
      <name val="Calibri"/>
      <b val="1"/>
      <color rgb="00C9A227"/>
      <sz val="28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3"/>
    </font>
    <font>
      <name val="Calibri"/>
      <b val="1"/>
      <color rgb="00404040"/>
      <sz val="10"/>
    </font>
    <font>
      <name val="Calibri"/>
      <color rgb="00404040"/>
      <sz val="10"/>
    </font>
    <font>
      <name val="Calibri"/>
      <b val="1"/>
      <color rgb="00FFFFFF"/>
      <sz val="12"/>
    </font>
    <font>
      <name val="Calibri"/>
      <b val="1"/>
      <color rgb="00FFFFFF"/>
      <sz val="14"/>
    </font>
    <font>
      <name val="Calibri"/>
      <color rgb="00000000"/>
      <sz val="10"/>
    </font>
    <font>
      <name val="Calibri"/>
      <b val="1"/>
      <color rgb="00FFFFFF"/>
      <sz val="10"/>
    </font>
    <font>
      <name val="Calibri"/>
      <i val="1"/>
      <color rgb="00595959"/>
      <sz val="9"/>
    </font>
    <font>
      <name val="Calibri"/>
      <b val="1"/>
      <color rgb="00FFFFFF"/>
      <sz val="11"/>
    </font>
    <font>
      <name val="Calibri"/>
      <b val="1"/>
      <color rgb="00000000"/>
      <sz val="10"/>
    </font>
    <font>
      <name val="Calibri"/>
      <b val="1"/>
      <color rgb="00000000"/>
      <sz val="11"/>
    </font>
    <font>
      <name val="Calibri"/>
      <b val="1"/>
      <color rgb="00375623"/>
      <sz val="11"/>
    </font>
    <font>
      <name val="Calibri"/>
      <b val="1"/>
      <color rgb="00404040"/>
      <sz val="11"/>
    </font>
    <font>
      <name val="Calibri"/>
      <b val="1"/>
      <color rgb="00833C00"/>
      <sz val="11"/>
    </font>
    <font>
      <name val="Calibri"/>
      <color rgb="00404040"/>
      <sz val="9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EEAF1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404040"/>
      </patternFill>
    </fill>
    <fill>
      <patternFill patternType="solid">
        <fgColor rgb="00C9A227"/>
      </patternFill>
    </fill>
    <fill>
      <patternFill patternType="solid">
        <fgColor rgb="00F2F2F2"/>
      </patternFill>
    </fill>
    <fill>
      <patternFill patternType="solid">
        <fgColor rgb="00BDD7EE"/>
      </patternFill>
    </fill>
    <fill>
      <patternFill patternType="solid">
        <fgColor rgb="00ED7D31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0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4" fontId="9" fillId="9" borderId="1" applyAlignment="1" pivotButton="0" quotePrefix="0" xfId="0">
      <alignment horizontal="right" vertical="center"/>
    </xf>
    <xf numFmtId="10" fontId="10" fillId="8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10" fontId="9" fillId="5" borderId="1" applyAlignment="1" pivotButton="0" quotePrefix="0" xfId="0">
      <alignment horizontal="right" vertical="center"/>
    </xf>
    <xf numFmtId="3" fontId="9" fillId="9" borderId="1" applyAlignment="1" pivotButton="0" quotePrefix="0" xfId="0">
      <alignment horizontal="right" vertical="center"/>
    </xf>
    <xf numFmtId="3" fontId="9" fillId="5" borderId="1" applyAlignment="1" pivotButton="0" quotePrefix="0" xfId="0">
      <alignment horizontal="right" vertical="center"/>
    </xf>
    <xf numFmtId="0" fontId="11" fillId="9" borderId="0" applyAlignment="1" pivotButton="0" quotePrefix="0" xfId="0">
      <alignment horizontal="left" vertical="top" wrapText="1"/>
    </xf>
    <xf numFmtId="0" fontId="12" fillId="3" borderId="1" applyAlignment="1" pivotButton="0" quotePrefix="0" xfId="0">
      <alignment horizontal="center" vertical="center"/>
    </xf>
    <xf numFmtId="164" fontId="9" fillId="9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10" fontId="9" fillId="9" borderId="1" applyAlignment="1" pivotButton="0" quotePrefix="0" xfId="0">
      <alignment horizontal="right" vertical="center"/>
    </xf>
    <xf numFmtId="165" fontId="9" fillId="9" borderId="1" applyAlignment="1" pivotButton="0" quotePrefix="0" xfId="0">
      <alignment horizontal="right" vertical="center"/>
    </xf>
    <xf numFmtId="0" fontId="6" fillId="9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165" fontId="9" fillId="5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165" fontId="12" fillId="8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top" wrapText="1"/>
    </xf>
    <xf numFmtId="10" fontId="13" fillId="10" borderId="1" applyAlignment="1" pivotButton="0" quotePrefix="0" xfId="0">
      <alignment horizontal="right" vertical="center"/>
    </xf>
    <xf numFmtId="165" fontId="13" fillId="10" borderId="1" applyAlignment="1" pivotButton="0" quotePrefix="0" xfId="0">
      <alignment horizontal="right" vertical="center"/>
    </xf>
    <xf numFmtId="10" fontId="6" fillId="9" borderId="1" applyAlignment="1" pivotButton="0" quotePrefix="0" xfId="0">
      <alignment horizontal="right" vertical="center"/>
    </xf>
    <xf numFmtId="0" fontId="11" fillId="9" borderId="1" applyAlignment="1" pivotButton="0" quotePrefix="0" xfId="0">
      <alignment horizontal="left" vertical="center" wrapText="1"/>
    </xf>
    <xf numFmtId="165" fontId="6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left" vertical="center" wrapText="1"/>
    </xf>
    <xf numFmtId="0" fontId="12" fillId="8" borderId="1" applyAlignment="1" pivotButton="0" quotePrefix="0" xfId="0">
      <alignment horizontal="left" vertical="center"/>
    </xf>
    <xf numFmtId="10" fontId="12" fillId="8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top" wrapText="1"/>
    </xf>
    <xf numFmtId="10" fontId="12" fillId="3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left" vertical="center"/>
    </xf>
    <xf numFmtId="10" fontId="7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/>
    </xf>
    <xf numFmtId="10" fontId="7" fillId="3" borderId="1" applyAlignment="1" pivotButton="0" quotePrefix="0" xfId="0">
      <alignment horizontal="right" vertical="center"/>
    </xf>
    <xf numFmtId="166" fontId="9" fillId="5" borderId="1" applyAlignment="1" pivotButton="0" quotePrefix="0" xfId="0">
      <alignment horizontal="right" vertical="center"/>
    </xf>
    <xf numFmtId="166" fontId="9" fillId="9" borderId="1" applyAlignment="1" pivotButton="0" quotePrefix="0" xfId="0">
      <alignment horizontal="right" vertical="center"/>
    </xf>
    <xf numFmtId="0" fontId="12" fillId="11" borderId="1" applyAlignment="1" pivotButton="0" quotePrefix="0" xfId="0">
      <alignment horizontal="left" vertical="center"/>
    </xf>
    <xf numFmtId="4" fontId="12" fillId="11" borderId="1" applyAlignment="1" pivotButton="0" quotePrefix="0" xfId="0">
      <alignment horizontal="right" vertical="center"/>
    </xf>
    <xf numFmtId="164" fontId="9" fillId="12" borderId="1" applyAlignment="1" pivotButton="0" quotePrefix="0" xfId="0">
      <alignment horizontal="right" vertical="center"/>
    </xf>
    <xf numFmtId="0" fontId="9" fillId="12" borderId="1" applyAlignment="1" pivotButton="0" quotePrefix="0" xfId="0">
      <alignment horizontal="center" vertical="center"/>
    </xf>
    <xf numFmtId="4" fontId="9" fillId="12" borderId="1" applyAlignment="1" pivotButton="0" quotePrefix="0" xfId="0">
      <alignment horizontal="right" vertical="center"/>
    </xf>
    <xf numFmtId="10" fontId="9" fillId="12" borderId="1" applyAlignment="1" pivotButton="0" quotePrefix="0" xfId="0">
      <alignment horizontal="right" vertical="center"/>
    </xf>
    <xf numFmtId="167" fontId="9" fillId="12" borderId="1" applyAlignment="1" pivotButton="0" quotePrefix="0" xfId="0">
      <alignment horizontal="right" vertical="center"/>
    </xf>
    <xf numFmtId="167" fontId="9" fillId="5" borderId="1" applyAlignment="1" pivotButton="0" quotePrefix="0" xfId="0">
      <alignment horizontal="right" vertical="center"/>
    </xf>
    <xf numFmtId="4" fontId="13" fillId="12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10" fillId="3" borderId="1" applyAlignment="1" pivotButton="0" quotePrefix="0" xfId="0">
      <alignment horizontal="left" vertical="center"/>
    </xf>
    <xf numFmtId="4" fontId="12" fillId="3" borderId="1" applyAlignment="1" pivotButton="0" quotePrefix="0" xfId="0">
      <alignment horizontal="right" vertical="center"/>
    </xf>
    <xf numFmtId="0" fontId="6" fillId="12" borderId="1" applyAlignment="1" pivotButton="0" quotePrefix="0" xfId="0">
      <alignment horizontal="left" vertical="center"/>
    </xf>
    <xf numFmtId="4" fontId="6" fillId="12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4" fontId="6" fillId="4" borderId="1" applyAlignment="1" pivotButton="0" quotePrefix="0" xfId="0">
      <alignment horizontal="right" vertical="center"/>
    </xf>
    <xf numFmtId="4" fontId="7" fillId="8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left" vertical="center"/>
    </xf>
    <xf numFmtId="4" fontId="6" fillId="13" borderId="1" applyAlignment="1" pivotButton="0" quotePrefix="0" xfId="0">
      <alignment horizontal="right" vertical="center"/>
    </xf>
    <xf numFmtId="10" fontId="6" fillId="13" borderId="1" applyAlignment="1" pivotButton="0" quotePrefix="0" xfId="0">
      <alignment horizontal="right" vertical="center"/>
    </xf>
    <xf numFmtId="0" fontId="13" fillId="0" borderId="0" pivotButton="0" quotePrefix="0" xfId="0"/>
    <xf numFmtId="4" fontId="13" fillId="0" borderId="0" pivotButton="0" quotePrefix="0" xfId="0"/>
    <xf numFmtId="10" fontId="13" fillId="0" borderId="0" pivotButton="0" quotePrefix="0" xfId="0"/>
    <xf numFmtId="0" fontId="12" fillId="2" borderId="1" applyAlignment="1" pivotButton="0" quotePrefix="0" xfId="0">
      <alignment horizontal="center" vertical="center"/>
    </xf>
    <xf numFmtId="10" fontId="12" fillId="3" borderId="1" applyAlignment="1" pivotButton="0" quotePrefix="0" xfId="0">
      <alignment horizontal="center" vertical="center"/>
    </xf>
    <xf numFmtId="4" fontId="0" fillId="9" borderId="1" applyAlignment="1" pivotButton="0" quotePrefix="0" xfId="0">
      <alignment horizontal="right" vertical="center"/>
    </xf>
    <xf numFmtId="4" fontId="0" fillId="10" borderId="1" applyAlignment="1" pivotButton="0" quotePrefix="0" xfId="0">
      <alignment horizontal="right" vertical="center"/>
    </xf>
    <xf numFmtId="4" fontId="0" fillId="5" borderId="1" applyAlignment="1" pivotButton="0" quotePrefix="0" xfId="0">
      <alignment horizontal="right" vertical="center"/>
    </xf>
    <xf numFmtId="4" fontId="0" fillId="6" borderId="1" applyAlignment="1" pivotButton="0" quotePrefix="0" xfId="0">
      <alignment horizontal="right" vertical="center"/>
    </xf>
    <xf numFmtId="0" fontId="10" fillId="2" borderId="1" applyAlignment="1" pivotButton="0" quotePrefix="0" xfId="0">
      <alignment horizontal="center" vertical="center"/>
    </xf>
    <xf numFmtId="0" fontId="14" fillId="0" borderId="0" pivotButton="0" quotePrefix="0" xfId="0"/>
    <xf numFmtId="10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9" fillId="12" borderId="1" applyAlignment="1" pivotButton="0" quotePrefix="0" xfId="0">
      <alignment horizontal="left" vertical="center"/>
    </xf>
    <xf numFmtId="4" fontId="15" fillId="12" borderId="1" applyAlignment="1" pivotButton="0" quotePrefix="0" xfId="0">
      <alignment horizontal="right" vertical="center"/>
    </xf>
    <xf numFmtId="0" fontId="9" fillId="13" borderId="1" applyAlignment="1" pivotButton="0" quotePrefix="0" xfId="0">
      <alignment horizontal="left" vertical="center"/>
    </xf>
    <xf numFmtId="4" fontId="15" fillId="13" borderId="1" applyAlignment="1" pivotButton="0" quotePrefix="0" xfId="0">
      <alignment horizontal="right" vertical="center"/>
    </xf>
    <xf numFmtId="0" fontId="13" fillId="13" borderId="1" applyAlignment="1" pivotButton="0" quotePrefix="0" xfId="0">
      <alignment horizontal="left" vertical="center"/>
    </xf>
    <xf numFmtId="4" fontId="16" fillId="13" borderId="1" applyAlignment="1" pivotButton="0" quotePrefix="0" xfId="0">
      <alignment horizontal="right" vertical="center"/>
    </xf>
    <xf numFmtId="168" fontId="16" fillId="4" borderId="1" applyAlignment="1" pivotButton="0" quotePrefix="0" xfId="0">
      <alignment horizontal="right" vertical="center"/>
    </xf>
    <xf numFmtId="168" fontId="17" fillId="4" borderId="1" applyAlignment="1" pivotButton="0" quotePrefix="0" xfId="0">
      <alignment horizontal="right" vertical="center"/>
    </xf>
    <xf numFmtId="10" fontId="15" fillId="13" borderId="1" applyAlignment="1" pivotButton="0" quotePrefix="0" xfId="0">
      <alignment horizontal="right" vertical="center"/>
    </xf>
    <xf numFmtId="49" fontId="16" fillId="13" borderId="1" applyAlignment="1" pivotButton="0" quotePrefix="0" xfId="0">
      <alignment horizontal="right" vertical="center"/>
    </xf>
    <xf numFmtId="0" fontId="18" fillId="9" borderId="1" applyAlignment="1" pivotButton="0" quotePrefix="0" xfId="0">
      <alignment horizontal="left" vertical="center" wrapText="1"/>
    </xf>
    <xf numFmtId="0" fontId="18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Intrinsic Value vs High-Growth Rate (g₁)</a:t>
            </a:r>
          </a:p>
        </rich>
      </tx>
    </title>
    <plotArea>
      <lineChart>
        <grouping val="standard"/>
        <ser>
          <idx val="0"/>
          <order val="0"/>
          <tx>
            <strRef>
              <f>'Sensitivity_Analysis'!B34</f>
            </strRef>
          </tx>
          <spPr>
            <a:ln w="20000">
              <a:solidFill>
                <a:srgbClr val="2E75B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'Sensitivity_Analysis'!$A$35:$A$45</f>
            </numRef>
          </cat>
          <val>
            <numRef>
              <f>'Sensitivity_Analysis'!$B$35:$B$45</f>
            </numRef>
          </val>
        </ser>
        <ser>
          <idx val="1"/>
          <order val="1"/>
          <tx>
            <strRef>
              <f>'Sensitivity_Analysis'!C34</f>
            </strRef>
          </tx>
          <spPr>
            <a:ln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'Sensitivity_Analysis'!$A$35:$A$45</f>
            </numRef>
          </cat>
          <val>
            <numRef>
              <f>'Sensitivity_Analysis'!$C$35:$C$45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High-Growth Rate g₁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Intrinsic Value per Share (₹)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33</row>
      <rowOff>0</rowOff>
    </from>
    <ext cx="648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28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 ht="20" customHeight="1"/>
    <row r="2" ht="30" customHeight="1">
      <c r="A2" s="1" t="inlineStr">
        <is>
          <t>TITAN COMPANY LIMITED</t>
        </is>
      </c>
    </row>
    <row r="3" ht="30" customHeight="1"/>
    <row r="4" ht="30" customHeight="1"/>
    <row r="5" ht="30" customHeight="1"/>
    <row r="6">
      <c r="A6" s="2" t="inlineStr">
        <is>
          <t>Intrinsic Value Estimation – Equity Valuation Report</t>
        </is>
      </c>
    </row>
    <row r="7"/>
    <row r="8">
      <c r="A8" s="3" t="inlineStr">
        <is>
          <t>NSE Symbol: TITAN  |  BSE Code: 500114  |  Sector: Consumer Discretionary</t>
        </is>
      </c>
    </row>
    <row r="9" ht="8" customHeight="1"/>
    <row r="10">
      <c r="A10" s="4" t="inlineStr">
        <is>
          <t>REPORT SUMMARY</t>
        </is>
      </c>
      <c r="B10" s="5" t="n"/>
      <c r="C10" s="5" t="n"/>
      <c r="D10" s="5" t="n"/>
      <c r="E10" s="5" t="n"/>
      <c r="F10" s="5" t="n"/>
      <c r="G10" s="5" t="n"/>
      <c r="H10" s="6" t="n"/>
    </row>
    <row r="11" ht="22" customHeight="1">
      <c r="A11" s="7" t="inlineStr">
        <is>
          <t>Valuation Model</t>
        </is>
      </c>
      <c r="B11" s="5" t="n"/>
      <c r="C11" s="6" t="n"/>
      <c r="D11" s="8" t="inlineStr">
        <is>
          <t>Two-Stage Free Cash Flow to Equity (FCFE)</t>
        </is>
      </c>
      <c r="E11" s="5" t="n"/>
      <c r="F11" s="5" t="n"/>
      <c r="G11" s="5" t="n"/>
      <c r="H11" s="6" t="n"/>
    </row>
    <row r="12" ht="22" customHeight="1">
      <c r="A12" s="7" t="inlineStr">
        <is>
          <t>Beta Estimation</t>
        </is>
      </c>
      <c r="B12" s="5" t="n"/>
      <c r="C12" s="6" t="n"/>
      <c r="D12" s="8" t="inlineStr">
        <is>
          <t>OLS Regression – 36 Monthly Returns (Jan 2021 – Dec 2023)</t>
        </is>
      </c>
      <c r="E12" s="5" t="n"/>
      <c r="F12" s="5" t="n"/>
      <c r="G12" s="5" t="n"/>
      <c r="H12" s="6" t="n"/>
    </row>
    <row r="13" ht="22" customHeight="1">
      <c r="A13" s="7" t="inlineStr">
        <is>
          <t>Benchmark Index</t>
        </is>
      </c>
      <c r="B13" s="5" t="n"/>
      <c r="C13" s="6" t="n"/>
      <c r="D13" s="8" t="inlineStr">
        <is>
          <t>Nifty 50</t>
        </is>
      </c>
      <c r="E13" s="5" t="n"/>
      <c r="F13" s="5" t="n"/>
      <c r="G13" s="5" t="n"/>
      <c r="H13" s="6" t="n"/>
    </row>
    <row r="14" ht="22" customHeight="1">
      <c r="A14" s="7" t="inlineStr">
        <is>
          <t>Risk-Free Rate Proxy</t>
        </is>
      </c>
      <c r="B14" s="5" t="n"/>
      <c r="C14" s="6" t="n"/>
      <c r="D14" s="8" t="inlineStr">
        <is>
          <t>91-Day T-Bill Rate</t>
        </is>
      </c>
      <c r="E14" s="5" t="n"/>
      <c r="F14" s="5" t="n"/>
      <c r="G14" s="5" t="n"/>
      <c r="H14" s="6" t="n"/>
    </row>
    <row r="15" ht="22" customHeight="1">
      <c r="A15" s="7" t="inlineStr">
        <is>
          <t>Market Risk Premium</t>
        </is>
      </c>
      <c r="B15" s="5" t="n"/>
      <c r="C15" s="6" t="n"/>
      <c r="D15" s="8" t="inlineStr">
        <is>
          <t>5.50%</t>
        </is>
      </c>
      <c r="E15" s="5" t="n"/>
      <c r="F15" s="5" t="n"/>
      <c r="G15" s="5" t="n"/>
      <c r="H15" s="6" t="n"/>
    </row>
    <row r="16" ht="22" customHeight="1">
      <c r="A16" s="7" t="inlineStr">
        <is>
          <t>High-Growth Period</t>
        </is>
      </c>
      <c r="B16" s="5" t="n"/>
      <c r="C16" s="6" t="n"/>
      <c r="D16" s="8" t="inlineStr">
        <is>
          <t>5 Years (FY2025–FY2029)</t>
        </is>
      </c>
      <c r="E16" s="5" t="n"/>
      <c r="F16" s="5" t="n"/>
      <c r="G16" s="5" t="n"/>
      <c r="H16" s="6" t="n"/>
    </row>
    <row r="17" ht="22" customHeight="1">
      <c r="A17" s="7" t="inlineStr">
        <is>
          <t>Terminal Growth Rate</t>
        </is>
      </c>
      <c r="B17" s="5" t="n"/>
      <c r="C17" s="6" t="n"/>
      <c r="D17" s="8" t="inlineStr">
        <is>
          <t>6.00%</t>
        </is>
      </c>
      <c r="E17" s="5" t="n"/>
      <c r="F17" s="5" t="n"/>
      <c r="G17" s="5" t="n"/>
      <c r="H17" s="6" t="n"/>
    </row>
    <row r="18" ht="22" customHeight="1">
      <c r="A18" s="7" t="inlineStr">
        <is>
          <t>Current Market Price</t>
        </is>
      </c>
      <c r="B18" s="5" t="n"/>
      <c r="C18" s="6" t="n"/>
      <c r="D18" s="8" t="inlineStr">
        <is>
          <t>₹ 3,200 (as of April 2024)</t>
        </is>
      </c>
      <c r="E18" s="5" t="n"/>
      <c r="F18" s="5" t="n"/>
      <c r="G18" s="5" t="n"/>
      <c r="H18" s="6" t="n"/>
    </row>
    <row r="19" ht="22" customHeight="1">
      <c r="A19" s="7" t="inlineStr">
        <is>
          <t>Prepared By</t>
        </is>
      </c>
      <c r="B19" s="5" t="n"/>
      <c r="C19" s="6" t="n"/>
      <c r="D19" s="8" t="inlineStr">
        <is>
          <t>Equity Research – Valuation Assignment</t>
        </is>
      </c>
      <c r="E19" s="5" t="n"/>
      <c r="F19" s="5" t="n"/>
      <c r="G19" s="5" t="n"/>
      <c r="H19" s="6" t="n"/>
    </row>
    <row r="20" ht="22" customHeight="1">
      <c r="A20" s="7" t="inlineStr">
        <is>
          <t>Date</t>
        </is>
      </c>
      <c r="B20" s="5" t="n"/>
      <c r="C20" s="6" t="n"/>
      <c r="D20" s="8" t="inlineStr">
        <is>
          <t>April 2024</t>
        </is>
      </c>
      <c r="E20" s="5" t="n"/>
      <c r="F20" s="5" t="n"/>
      <c r="G20" s="5" t="n"/>
      <c r="H20" s="6" t="n"/>
    </row>
    <row r="22" ht="10" customHeight="1"/>
    <row r="23">
      <c r="A23" s="9" t="inlineStr">
        <is>
          <t>JUSTIFICATION FOR FCFE MODEL</t>
        </is>
      </c>
      <c r="B23" s="5" t="n"/>
      <c r="C23" s="5" t="n"/>
      <c r="D23" s="5" t="n"/>
      <c r="E23" s="5" t="n"/>
      <c r="F23" s="5" t="n"/>
      <c r="G23" s="5" t="n"/>
      <c r="H23" s="6" t="n"/>
    </row>
    <row r="24">
      <c r="A24" s="10" t="inlineStr">
        <is>
          <t>The Free Cash Flow to Equity (FCFE) model is selected for Titan Company because: (1) Titan has a low dividend payout ratio (~28%), making the Dividend Discount Model (DDM) inappropriate as dividends are significantly lower than FCFE. (2) Titan is in a high-growth phase with ROE &gt; cost of equity; a two-stage model captures this growth trajectory more realistically. (3) FCFE measures cash actually available to equity holders after reinvestment needs, which is superior for capital-intensive retail businesses with large working capital requirements (gold/jewelry inventory). (4) The Earnings Multiplier (P/E) approach would require a stable peer multiple, but Titan trades at a significant premium due to brand equity that is not fully reflected by industry P/E ratios.</t>
        </is>
      </c>
    </row>
    <row r="25"/>
    <row r="26"/>
    <row r="27"/>
    <row r="28"/>
  </sheetData>
  <mergeCells count="26">
    <mergeCell ref="D20:H20"/>
    <mergeCell ref="D19:H19"/>
    <mergeCell ref="A18:C18"/>
    <mergeCell ref="A12:C12"/>
    <mergeCell ref="A2:H5"/>
    <mergeCell ref="A24:H28"/>
    <mergeCell ref="A14:C14"/>
    <mergeCell ref="D11:H11"/>
    <mergeCell ref="D13:H13"/>
    <mergeCell ref="A17:C17"/>
    <mergeCell ref="A20:C20"/>
    <mergeCell ref="D17:H17"/>
    <mergeCell ref="A13:C13"/>
    <mergeCell ref="A19:C19"/>
    <mergeCell ref="D16:H16"/>
    <mergeCell ref="A15:C15"/>
    <mergeCell ref="A23:H23"/>
    <mergeCell ref="A8:H8"/>
    <mergeCell ref="D18:H18"/>
    <mergeCell ref="D12:H12"/>
    <mergeCell ref="A11:C11"/>
    <mergeCell ref="D15:H15"/>
    <mergeCell ref="A10:H10"/>
    <mergeCell ref="A6:H7"/>
    <mergeCell ref="D14:H14"/>
    <mergeCell ref="A16:C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1" t="inlineStr">
        <is>
          <t>TITAN COMPANY LTD – HISTORICAL FINANCIAL DATA</t>
        </is>
      </c>
      <c r="B1" s="5" t="n"/>
      <c r="C1" s="5" t="n"/>
      <c r="D1" s="5" t="n"/>
      <c r="E1" s="5" t="n"/>
      <c r="F1" s="5" t="n"/>
      <c r="G1" s="5" t="n"/>
      <c r="H1" s="6" t="n"/>
    </row>
    <row r="3">
      <c r="A3" s="12" t="inlineStr">
        <is>
          <t>Metric / Year</t>
        </is>
      </c>
      <c r="B3" s="13" t="inlineStr">
        <is>
          <t>FY2019</t>
        </is>
      </c>
      <c r="C3" s="13" t="inlineStr">
        <is>
          <t>FY2020</t>
        </is>
      </c>
      <c r="D3" s="13" t="inlineStr">
        <is>
          <t>FY2021</t>
        </is>
      </c>
      <c r="E3" s="13" t="inlineStr">
        <is>
          <t>FY2022</t>
        </is>
      </c>
      <c r="F3" s="13" t="inlineStr">
        <is>
          <t>FY2023</t>
        </is>
      </c>
      <c r="G3" s="13" t="inlineStr">
        <is>
          <t>FY2024</t>
        </is>
      </c>
      <c r="H3" s="14" t="inlineStr">
        <is>
          <t>CAGR (5Y)</t>
        </is>
      </c>
    </row>
    <row r="4">
      <c r="A4" s="15" t="inlineStr">
        <is>
          <t>EPS (₹/share)</t>
        </is>
      </c>
      <c r="B4" s="16" t="n">
        <v>18.45</v>
      </c>
      <c r="C4" s="16" t="n">
        <v>14.52</v>
      </c>
      <c r="D4" s="16" t="n">
        <v>8.199999999999999</v>
      </c>
      <c r="E4" s="16" t="n">
        <v>27.82</v>
      </c>
      <c r="F4" s="16" t="n">
        <v>33.51</v>
      </c>
      <c r="G4" s="16" t="n">
        <v>39.41</v>
      </c>
      <c r="H4" s="17">
        <f>(G4/B4)^(1/5)-1</f>
        <v/>
      </c>
    </row>
    <row r="5">
      <c r="A5" s="15" t="inlineStr">
        <is>
          <t>DPS (₹/share)</t>
        </is>
      </c>
      <c r="B5" s="18" t="n">
        <v>3.75</v>
      </c>
      <c r="C5" s="18" t="n">
        <v>4</v>
      </c>
      <c r="D5" s="18" t="n">
        <v>4</v>
      </c>
      <c r="E5" s="18" t="n">
        <v>7.5</v>
      </c>
      <c r="F5" s="18" t="n">
        <v>10</v>
      </c>
      <c r="G5" s="18" t="n">
        <v>11</v>
      </c>
      <c r="H5" s="17">
        <f>(G5/B5)^(1/5)-1</f>
        <v/>
      </c>
    </row>
    <row r="6">
      <c r="A6" s="15" t="inlineStr">
        <is>
          <t>BVPS (₹/share)</t>
        </is>
      </c>
      <c r="B6" s="16" t="n">
        <v>76.5</v>
      </c>
      <c r="C6" s="16" t="n">
        <v>84.2</v>
      </c>
      <c r="D6" s="16" t="n">
        <v>89.09999999999999</v>
      </c>
      <c r="E6" s="16" t="n">
        <v>110.25</v>
      </c>
      <c r="F6" s="16" t="n">
        <v>130.8</v>
      </c>
      <c r="G6" s="16" t="n">
        <v>154.92</v>
      </c>
      <c r="H6" s="17">
        <f>(G6/B6)^(1/5)-1</f>
        <v/>
      </c>
    </row>
    <row r="7">
      <c r="A7" s="15" t="inlineStr">
        <is>
          <t>ROE (%)</t>
        </is>
      </c>
      <c r="B7" s="19" t="n">
        <v>0.241</v>
      </c>
      <c r="C7" s="19" t="n">
        <v>0.1723</v>
      </c>
      <c r="D7" s="19" t="n">
        <v>0.092</v>
      </c>
      <c r="E7" s="19" t="n">
        <v>0.2522</v>
      </c>
      <c r="F7" s="19" t="n">
        <v>0.2563</v>
      </c>
      <c r="G7" s="19" t="n">
        <v>0.2544</v>
      </c>
      <c r="H7" s="17">
        <f>(G7/B7)^(1/5)-1</f>
        <v/>
      </c>
    </row>
    <row r="8">
      <c r="A8" s="15" t="inlineStr">
        <is>
          <t>Net Income (₹ Cr)</t>
        </is>
      </c>
      <c r="B8" s="20" t="n">
        <v>1639</v>
      </c>
      <c r="C8" s="20" t="n">
        <v>1289</v>
      </c>
      <c r="D8" s="20" t="n">
        <v>728</v>
      </c>
      <c r="E8" s="20" t="n">
        <v>2470</v>
      </c>
      <c r="F8" s="20" t="n">
        <v>2975</v>
      </c>
      <c r="G8" s="20" t="n">
        <v>3496</v>
      </c>
      <c r="H8" s="17">
        <f>(G8/B8)^(1/5)-1</f>
        <v/>
      </c>
    </row>
    <row r="9">
      <c r="A9" s="15" t="inlineStr">
        <is>
          <t>Capex (₹ Cr)</t>
        </is>
      </c>
      <c r="B9" s="21" t="n">
        <v>320</v>
      </c>
      <c r="C9" s="21" t="n">
        <v>360</v>
      </c>
      <c r="D9" s="21" t="n">
        <v>270</v>
      </c>
      <c r="E9" s="21" t="n">
        <v>480</v>
      </c>
      <c r="F9" s="21" t="n">
        <v>620</v>
      </c>
      <c r="G9" s="21" t="n">
        <v>810</v>
      </c>
      <c r="H9" s="17">
        <f>(G9/B9)^(1/5)-1</f>
        <v/>
      </c>
    </row>
    <row r="10">
      <c r="A10" s="15" t="inlineStr">
        <is>
          <t>Depreciation (₹ Cr)</t>
        </is>
      </c>
      <c r="B10" s="20" t="n">
        <v>220</v>
      </c>
      <c r="C10" s="20" t="n">
        <v>250</v>
      </c>
      <c r="D10" s="20" t="n">
        <v>265</v>
      </c>
      <c r="E10" s="20" t="n">
        <v>285</v>
      </c>
      <c r="F10" s="20" t="n">
        <v>320</v>
      </c>
      <c r="G10" s="20" t="n">
        <v>370</v>
      </c>
      <c r="H10" s="17">
        <f>(G10/B10)^(1/5)-1</f>
        <v/>
      </c>
    </row>
    <row r="11">
      <c r="A11" s="15" t="inlineStr">
        <is>
          <t>Δ Working Capital (₹ Cr)</t>
        </is>
      </c>
      <c r="B11" s="21" t="n">
        <v>1100</v>
      </c>
      <c r="C11" s="21" t="n">
        <v>1350</v>
      </c>
      <c r="D11" s="21" t="n">
        <v>400</v>
      </c>
      <c r="E11" s="21" t="n">
        <v>1700</v>
      </c>
      <c r="F11" s="21" t="n">
        <v>1900</v>
      </c>
      <c r="G11" s="21" t="n">
        <v>2050</v>
      </c>
      <c r="H11" s="17">
        <f>(G11/B11)^(1/5)-1</f>
        <v/>
      </c>
    </row>
    <row r="13" ht="35" customHeight="1">
      <c r="A13" s="22" t="inlineStr">
        <is>
          <t>Source: BSE/NSE filings, Titan Company Annual Reports FY2019–FY2024. Net Income, Capex, Depreciation, and ΔWCA are consolidated figures (₹ Crore). ΔWCA includes changes in inventories (gold/jewelry), receivables, and payables. Shares outstanding: ~887.7 million.</t>
        </is>
      </c>
    </row>
  </sheetData>
  <mergeCells count="2">
    <mergeCell ref="A13:H13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6" customWidth="1" min="4" max="4"/>
    <col width="16" customWidth="1" min="5" max="5"/>
    <col width="28" customWidth="1" min="6" max="6"/>
    <col width="16" customWidth="1" min="7" max="7"/>
    <col width="16" customWidth="1" min="8" max="8"/>
    <col width="16" customWidth="1" min="9" max="9"/>
    <col width="32" customWidth="1" min="10" max="10"/>
    <col width="18" customWidth="1" min="11" max="11"/>
  </cols>
  <sheetData>
    <row r="1">
      <c r="A1" s="4" t="inlineStr">
        <is>
          <t>BETA ESTIMATION – OLS REGRESSION OF MONTHLY RETURNS (Jan 2021 – Dec 2023)</t>
        </is>
      </c>
      <c r="B1" s="5" t="n"/>
      <c r="C1" s="5" t="n"/>
      <c r="D1" s="5" t="n"/>
      <c r="E1" s="5" t="n"/>
      <c r="F1" s="5" t="n"/>
      <c r="G1" s="5" t="n"/>
      <c r="H1" s="5" t="n"/>
      <c r="I1" s="6" t="n"/>
    </row>
    <row r="3">
      <c r="A3" s="23" t="inlineStr">
        <is>
          <t>No.</t>
        </is>
      </c>
      <c r="B3" s="23" t="inlineStr">
        <is>
          <t>Month</t>
        </is>
      </c>
      <c r="C3" s="23" t="inlineStr">
        <is>
          <t>Titan Return (%)</t>
        </is>
      </c>
      <c r="D3" s="23" t="inlineStr">
        <is>
          <t>Nifty 50 Return (%)</t>
        </is>
      </c>
      <c r="E3" s="23" t="inlineStr">
        <is>
          <t>(Ri - R̄i)</t>
        </is>
      </c>
      <c r="F3" s="23" t="inlineStr">
        <is>
          <t>(Rm - R̄m)</t>
        </is>
      </c>
      <c r="G3" s="23" t="inlineStr">
        <is>
          <t>(Ri-R̄i)(Rm-R̄m)</t>
        </is>
      </c>
      <c r="H3" s="23" t="inlineStr">
        <is>
          <t>(Rm-R̄m)²</t>
        </is>
      </c>
      <c r="J3" s="9" t="inlineStr">
        <is>
          <t>OLS REGRESSION RESULTS</t>
        </is>
      </c>
      <c r="K3" s="6" t="n"/>
    </row>
    <row r="4">
      <c r="A4" s="24" t="n">
        <v>1</v>
      </c>
      <c r="B4" s="25" t="inlineStr">
        <is>
          <t>Jan-21</t>
        </is>
      </c>
      <c r="C4" s="26" t="n">
        <v>0.051</v>
      </c>
      <c r="D4" s="26" t="n">
        <v>0.0382</v>
      </c>
      <c r="E4" s="27">
        <f>C4-C40</f>
        <v/>
      </c>
      <c r="F4" s="27">
        <f>D4-D40</f>
        <v/>
      </c>
      <c r="G4" s="27">
        <f>E4*F4</f>
        <v/>
      </c>
      <c r="H4" s="27">
        <f>F4^2</f>
        <v/>
      </c>
      <c r="J4" s="28" t="inlineStr">
        <is>
          <t>Observations (n)</t>
        </is>
      </c>
      <c r="K4" s="20">
        <f>COUNTA(C4:C39)</f>
        <v/>
      </c>
    </row>
    <row r="5">
      <c r="A5" s="29" t="n">
        <v>2</v>
      </c>
      <c r="B5" s="30" t="inlineStr">
        <is>
          <t>Feb-21</t>
        </is>
      </c>
      <c r="C5" s="19" t="n">
        <v>0.08500000000000001</v>
      </c>
      <c r="D5" s="19" t="n">
        <v>0.06</v>
      </c>
      <c r="E5" s="31">
        <f>C5-C40</f>
        <v/>
      </c>
      <c r="F5" s="31">
        <f>D5-D40</f>
        <v/>
      </c>
      <c r="G5" s="31">
        <f>E5*F5</f>
        <v/>
      </c>
      <c r="H5" s="31">
        <f>F5^2</f>
        <v/>
      </c>
      <c r="J5" s="32" t="inlineStr">
        <is>
          <t>Mean Titan Return (R̄i)</t>
        </is>
      </c>
      <c r="K5" s="31">
        <f>C40</f>
        <v/>
      </c>
    </row>
    <row r="6">
      <c r="A6" s="24" t="n">
        <v>3</v>
      </c>
      <c r="B6" s="25" t="inlineStr">
        <is>
          <t>Mar-21</t>
        </is>
      </c>
      <c r="C6" s="26" t="n">
        <v>0.013</v>
      </c>
      <c r="D6" s="26" t="n">
        <v>0.007900000000000001</v>
      </c>
      <c r="E6" s="27">
        <f>C6-C40</f>
        <v/>
      </c>
      <c r="F6" s="27">
        <f>D6-D40</f>
        <v/>
      </c>
      <c r="G6" s="27">
        <f>E6*F6</f>
        <v/>
      </c>
      <c r="H6" s="27">
        <f>F6^2</f>
        <v/>
      </c>
      <c r="J6" s="28" t="inlineStr">
        <is>
          <t>Mean Nifty Return (R̄m)</t>
        </is>
      </c>
      <c r="K6" s="27">
        <f>D40</f>
        <v/>
      </c>
    </row>
    <row r="7">
      <c r="A7" s="29" t="n">
        <v>4</v>
      </c>
      <c r="B7" s="30" t="inlineStr">
        <is>
          <t>Apr-21</t>
        </is>
      </c>
      <c r="C7" s="19" t="n">
        <v>0.021</v>
      </c>
      <c r="D7" s="19" t="n">
        <v>0.012</v>
      </c>
      <c r="E7" s="31">
        <f>C7-C40</f>
        <v/>
      </c>
      <c r="F7" s="31">
        <f>D7-D40</f>
        <v/>
      </c>
      <c r="G7" s="31">
        <f>E7*F7</f>
        <v/>
      </c>
      <c r="H7" s="31">
        <f>F7^2</f>
        <v/>
      </c>
      <c r="J7" s="32" t="inlineStr">
        <is>
          <t>Σ(Ri-R̄i)(Rm-R̄m)</t>
        </is>
      </c>
      <c r="K7" s="21">
        <f>G41</f>
        <v/>
      </c>
    </row>
    <row r="8">
      <c r="A8" s="24" t="n">
        <v>5</v>
      </c>
      <c r="B8" s="25" t="inlineStr">
        <is>
          <t>May-21</t>
        </is>
      </c>
      <c r="C8" s="26" t="n">
        <v>0.049</v>
      </c>
      <c r="D8" s="26" t="n">
        <v>0.0305</v>
      </c>
      <c r="E8" s="27">
        <f>C8-C40</f>
        <v/>
      </c>
      <c r="F8" s="27">
        <f>D8-D40</f>
        <v/>
      </c>
      <c r="G8" s="27">
        <f>E8*F8</f>
        <v/>
      </c>
      <c r="H8" s="27">
        <f>F8^2</f>
        <v/>
      </c>
      <c r="J8" s="28" t="inlineStr">
        <is>
          <t>Σ(Rm-R̄m)²</t>
        </is>
      </c>
      <c r="K8" s="20">
        <f>H41</f>
        <v/>
      </c>
    </row>
    <row r="9">
      <c r="A9" s="29" t="n">
        <v>6</v>
      </c>
      <c r="B9" s="30" t="inlineStr">
        <is>
          <t>Jun-21</t>
        </is>
      </c>
      <c r="C9" s="19" t="n">
        <v>0.008500000000000001</v>
      </c>
      <c r="D9" s="19" t="n">
        <v>0.0052</v>
      </c>
      <c r="E9" s="31">
        <f>C9-C40</f>
        <v/>
      </c>
      <c r="F9" s="31">
        <f>D9-D40</f>
        <v/>
      </c>
      <c r="G9" s="31">
        <f>E9*F9</f>
        <v/>
      </c>
      <c r="H9" s="31">
        <f>F9^2</f>
        <v/>
      </c>
      <c r="J9" s="33" t="inlineStr">
        <is>
          <t>Beta  β = Cov/Var</t>
        </is>
      </c>
      <c r="K9" s="34">
        <f>G41/H41</f>
        <v/>
      </c>
    </row>
    <row r="10">
      <c r="A10" s="24" t="n">
        <v>7</v>
      </c>
      <c r="B10" s="25" t="inlineStr">
        <is>
          <t>Jul-21</t>
        </is>
      </c>
      <c r="C10" s="26" t="n">
        <v>-0.0072</v>
      </c>
      <c r="D10" s="26" t="n">
        <v>-0.0052</v>
      </c>
      <c r="E10" s="27">
        <f>C10-C40</f>
        <v/>
      </c>
      <c r="F10" s="27">
        <f>D10-D40</f>
        <v/>
      </c>
      <c r="G10" s="27">
        <f>E10*F10</f>
        <v/>
      </c>
      <c r="H10" s="27">
        <f>F10^2</f>
        <v/>
      </c>
      <c r="J10" s="28" t="inlineStr">
        <is>
          <t>Alpha α (Jensen's α)</t>
        </is>
      </c>
      <c r="K10" s="27">
        <f>C40-K9*D40</f>
        <v/>
      </c>
    </row>
    <row r="11">
      <c r="A11" s="29" t="n">
        <v>8</v>
      </c>
      <c r="B11" s="30" t="inlineStr">
        <is>
          <t>Aug-21</t>
        </is>
      </c>
      <c r="C11" s="19" t="n">
        <v>0.0315</v>
      </c>
      <c r="D11" s="19" t="n">
        <v>0.02</v>
      </c>
      <c r="E11" s="31">
        <f>C11-C40</f>
        <v/>
      </c>
      <c r="F11" s="31">
        <f>D11-D40</f>
        <v/>
      </c>
      <c r="G11" s="31">
        <f>E11*F11</f>
        <v/>
      </c>
      <c r="H11" s="31">
        <f>F11^2</f>
        <v/>
      </c>
      <c r="J11" s="32" t="inlineStr">
        <is>
          <t>Covariance (Ri,Rm)</t>
        </is>
      </c>
      <c r="K11" s="31">
        <f>COVARIANCE.S(C4:C39,D4:D39)</f>
        <v/>
      </c>
    </row>
    <row r="12">
      <c r="A12" s="24" t="n">
        <v>9</v>
      </c>
      <c r="B12" s="25" t="inlineStr">
        <is>
          <t>Sep-21</t>
        </is>
      </c>
      <c r="C12" s="26" t="n">
        <v>0.038</v>
      </c>
      <c r="D12" s="26" t="n">
        <v>0.0284</v>
      </c>
      <c r="E12" s="27">
        <f>C12-C40</f>
        <v/>
      </c>
      <c r="F12" s="27">
        <f>D12-D40</f>
        <v/>
      </c>
      <c r="G12" s="27">
        <f>E12*F12</f>
        <v/>
      </c>
      <c r="H12" s="27">
        <f>F12^2</f>
        <v/>
      </c>
      <c r="J12" s="28" t="inlineStr">
        <is>
          <t>Variance (Rm)</t>
        </is>
      </c>
      <c r="K12" s="27">
        <f>VAR.S(D4:D39)</f>
        <v/>
      </c>
    </row>
    <row r="13">
      <c r="A13" s="29" t="n">
        <v>10</v>
      </c>
      <c r="B13" s="30" t="inlineStr">
        <is>
          <t>Oct-21</t>
        </is>
      </c>
      <c r="C13" s="19" t="n">
        <v>0.0025</v>
      </c>
      <c r="D13" s="19" t="n">
        <v>-0.0008</v>
      </c>
      <c r="E13" s="31">
        <f>C13-C40</f>
        <v/>
      </c>
      <c r="F13" s="31">
        <f>D13-D40</f>
        <v/>
      </c>
      <c r="G13" s="31">
        <f>E13*F13</f>
        <v/>
      </c>
      <c r="H13" s="31">
        <f>F13^2</f>
        <v/>
      </c>
      <c r="J13" s="32" t="inlineStr">
        <is>
          <t>Beta (SLOPE check)</t>
        </is>
      </c>
      <c r="K13" s="31">
        <f>SLOPE(C4:C39,D4:D39)</f>
        <v/>
      </c>
    </row>
    <row r="14">
      <c r="A14" s="24" t="n">
        <v>11</v>
      </c>
      <c r="B14" s="25" t="inlineStr">
        <is>
          <t>Nov-21</t>
        </is>
      </c>
      <c r="C14" s="26" t="n">
        <v>0.0095</v>
      </c>
      <c r="D14" s="26" t="n">
        <v>0</v>
      </c>
      <c r="E14" s="27">
        <f>C14-C40</f>
        <v/>
      </c>
      <c r="F14" s="27">
        <f>D14-D40</f>
        <v/>
      </c>
      <c r="G14" s="27">
        <f>E14*F14</f>
        <v/>
      </c>
      <c r="H14" s="27">
        <f>F14^2</f>
        <v/>
      </c>
      <c r="J14" s="28" t="inlineStr">
        <is>
          <t>Intercept (INTERCEPT check)</t>
        </is>
      </c>
      <c r="K14" s="27">
        <f>INTERCEPT(C4:C39,D4:D39)</f>
        <v/>
      </c>
    </row>
    <row r="15">
      <c r="A15" s="29" t="n">
        <v>12</v>
      </c>
      <c r="B15" s="30" t="inlineStr">
        <is>
          <t>Dec-21</t>
        </is>
      </c>
      <c r="C15" s="19" t="n">
        <v>0.036</v>
      </c>
      <c r="D15" s="19" t="n">
        <v>0.0205</v>
      </c>
      <c r="E15" s="31">
        <f>C15-C40</f>
        <v/>
      </c>
      <c r="F15" s="31">
        <f>D15-D40</f>
        <v/>
      </c>
      <c r="G15" s="31">
        <f>E15*F15</f>
        <v/>
      </c>
      <c r="H15" s="31">
        <f>F15^2</f>
        <v/>
      </c>
      <c r="J15" s="32" t="inlineStr">
        <is>
          <t>Correlation (R)</t>
        </is>
      </c>
      <c r="K15" s="31">
        <f>CORREL(C4:C39,D4:D39)</f>
        <v/>
      </c>
    </row>
    <row r="16">
      <c r="A16" s="24" t="n">
        <v>13</v>
      </c>
      <c r="B16" s="25" t="inlineStr">
        <is>
          <t>Jan-22</t>
        </is>
      </c>
      <c r="C16" s="26" t="n">
        <v>-0.0195</v>
      </c>
      <c r="D16" s="26" t="n">
        <v>-0.013</v>
      </c>
      <c r="E16" s="27">
        <f>C16-C40</f>
        <v/>
      </c>
      <c r="F16" s="27">
        <f>D16-D40</f>
        <v/>
      </c>
      <c r="G16" s="27">
        <f>E16*F16</f>
        <v/>
      </c>
      <c r="H16" s="27">
        <f>F16^2</f>
        <v/>
      </c>
      <c r="J16" s="28" t="inlineStr">
        <is>
          <t>R-Squared (R²)</t>
        </is>
      </c>
      <c r="K16" s="27">
        <f>CORREL(C4:C39,D4:D39)^2</f>
        <v/>
      </c>
    </row>
    <row r="17">
      <c r="A17" s="29" t="n">
        <v>14</v>
      </c>
      <c r="B17" s="30" t="inlineStr">
        <is>
          <t>Feb-22</t>
        </is>
      </c>
      <c r="C17" s="19" t="n">
        <v>0.055</v>
      </c>
      <c r="D17" s="19" t="n">
        <v>0.04099999999999999</v>
      </c>
      <c r="E17" s="31">
        <f>C17-C40</f>
        <v/>
      </c>
      <c r="F17" s="31">
        <f>D17-D40</f>
        <v/>
      </c>
      <c r="G17" s="31">
        <f>E17*F17</f>
        <v/>
      </c>
      <c r="H17" s="31">
        <f>F17^2</f>
        <v/>
      </c>
      <c r="J17" s="32" t="inlineStr">
        <is>
          <t>Standard Error</t>
        </is>
      </c>
      <c r="K17" s="21">
        <f>STEYX(C4:C39,D4:D39)</f>
        <v/>
      </c>
    </row>
    <row r="18">
      <c r="A18" s="24" t="n">
        <v>15</v>
      </c>
      <c r="B18" s="25" t="inlineStr">
        <is>
          <t>Mar-22</t>
        </is>
      </c>
      <c r="C18" s="26" t="n">
        <v>-0.044</v>
      </c>
      <c r="D18" s="26" t="n">
        <v>-0.032</v>
      </c>
      <c r="E18" s="27">
        <f>C18-C40</f>
        <v/>
      </c>
      <c r="F18" s="27">
        <f>D18-D40</f>
        <v/>
      </c>
      <c r="G18" s="27">
        <f>E18*F18</f>
        <v/>
      </c>
      <c r="H18" s="27">
        <f>F18^2</f>
        <v/>
      </c>
      <c r="J18" s="28" t="inlineStr">
        <is>
          <t>t-Statistic (β)</t>
        </is>
      </c>
      <c r="K18" s="27">
        <f>K9*SQRT(H41)/K17</f>
        <v/>
      </c>
    </row>
    <row r="19">
      <c r="A19" s="29" t="n">
        <v>16</v>
      </c>
      <c r="B19" s="30" t="inlineStr">
        <is>
          <t>Apr-22</t>
        </is>
      </c>
      <c r="C19" s="19" t="n">
        <v>0.005</v>
      </c>
      <c r="D19" s="19" t="n">
        <v>0.0002</v>
      </c>
      <c r="E19" s="31">
        <f>C19-C40</f>
        <v/>
      </c>
      <c r="F19" s="31">
        <f>D19-D40</f>
        <v/>
      </c>
      <c r="G19" s="31">
        <f>E19*F19</f>
        <v/>
      </c>
      <c r="H19" s="31">
        <f>F19^2</f>
        <v/>
      </c>
    </row>
    <row r="20">
      <c r="A20" s="24" t="n">
        <v>17</v>
      </c>
      <c r="B20" s="25" t="inlineStr">
        <is>
          <t>May-22</t>
        </is>
      </c>
      <c r="C20" s="26" t="n">
        <v>-0.031</v>
      </c>
      <c r="D20" s="26" t="n">
        <v>-0.02</v>
      </c>
      <c r="E20" s="27">
        <f>C20-C40</f>
        <v/>
      </c>
      <c r="F20" s="27">
        <f>D20-D40</f>
        <v/>
      </c>
      <c r="G20" s="27">
        <f>E20*F20</f>
        <v/>
      </c>
      <c r="H20" s="27">
        <f>F20^2</f>
        <v/>
      </c>
    </row>
    <row r="21" ht="60" customHeight="1">
      <c r="A21" s="29" t="n">
        <v>18</v>
      </c>
      <c r="B21" s="30" t="inlineStr">
        <is>
          <t>Jun-22</t>
        </is>
      </c>
      <c r="C21" s="19" t="n">
        <v>-0.07200000000000001</v>
      </c>
      <c r="D21" s="19" t="n">
        <v>-0.0496</v>
      </c>
      <c r="E21" s="31">
        <f>C21-C40</f>
        <v/>
      </c>
      <c r="F21" s="31">
        <f>D21-D40</f>
        <v/>
      </c>
      <c r="G21" s="31">
        <f>E21*F21</f>
        <v/>
      </c>
      <c r="H21" s="31">
        <f>F21^2</f>
        <v/>
      </c>
      <c r="J21" s="35" t="inlineStr">
        <is>
          <t>OLS Model: Ri,t = α + β·Rm,t + εi,t
where Ri,t = Titan monthly return, Rm,t = Nifty 50 monthly return.
Beta measures systematic risk; β &gt; 1 implies higher volatility than market.
Data period: Jan 2021 – Dec 2023 (36 monthly observations). Returns sourced from NSE/BSE closing prices adjusted for corporate actions.</t>
        </is>
      </c>
    </row>
    <row r="22">
      <c r="A22" s="24" t="n">
        <v>19</v>
      </c>
      <c r="B22" s="25" t="inlineStr">
        <is>
          <t>Jul-22</t>
        </is>
      </c>
      <c r="C22" s="26" t="n">
        <v>0.101</v>
      </c>
      <c r="D22" s="26" t="n">
        <v>0.08289999999999999</v>
      </c>
      <c r="E22" s="27">
        <f>C22-C40</f>
        <v/>
      </c>
      <c r="F22" s="27">
        <f>D22-D40</f>
        <v/>
      </c>
      <c r="G22" s="27">
        <f>E22*F22</f>
        <v/>
      </c>
      <c r="H22" s="27">
        <f>F22^2</f>
        <v/>
      </c>
    </row>
    <row r="23">
      <c r="A23" s="29" t="n">
        <v>20</v>
      </c>
      <c r="B23" s="30" t="inlineStr">
        <is>
          <t>Aug-22</t>
        </is>
      </c>
      <c r="C23" s="19" t="n">
        <v>0.04650000000000001</v>
      </c>
      <c r="D23" s="19" t="n">
        <v>0.0314</v>
      </c>
      <c r="E23" s="31">
        <f>C23-C40</f>
        <v/>
      </c>
      <c r="F23" s="31">
        <f>D23-D40</f>
        <v/>
      </c>
      <c r="G23" s="31">
        <f>E23*F23</f>
        <v/>
      </c>
      <c r="H23" s="31">
        <f>F23^2</f>
        <v/>
      </c>
    </row>
    <row r="24">
      <c r="A24" s="24" t="n">
        <v>21</v>
      </c>
      <c r="B24" s="25" t="inlineStr">
        <is>
          <t>Sep-22</t>
        </is>
      </c>
      <c r="C24" s="26" t="n">
        <v>-0.04099999999999999</v>
      </c>
      <c r="D24" s="26" t="n">
        <v>-0.0306</v>
      </c>
      <c r="E24" s="27">
        <f>C24-C40</f>
        <v/>
      </c>
      <c r="F24" s="27">
        <f>D24-D40</f>
        <v/>
      </c>
      <c r="G24" s="27">
        <f>E24*F24</f>
        <v/>
      </c>
      <c r="H24" s="27">
        <f>F24^2</f>
        <v/>
      </c>
    </row>
    <row r="25">
      <c r="A25" s="29" t="n">
        <v>22</v>
      </c>
      <c r="B25" s="30" t="inlineStr">
        <is>
          <t>Oct-22</t>
        </is>
      </c>
      <c r="C25" s="19" t="n">
        <v>0.046</v>
      </c>
      <c r="D25" s="19" t="n">
        <v>0.0325</v>
      </c>
      <c r="E25" s="31">
        <f>C25-C40</f>
        <v/>
      </c>
      <c r="F25" s="31">
        <f>D25-D40</f>
        <v/>
      </c>
      <c r="G25" s="31">
        <f>E25*F25</f>
        <v/>
      </c>
      <c r="H25" s="31">
        <f>F25^2</f>
        <v/>
      </c>
    </row>
    <row r="26">
      <c r="A26" s="24" t="n">
        <v>23</v>
      </c>
      <c r="B26" s="25" t="inlineStr">
        <is>
          <t>Nov-22</t>
        </is>
      </c>
      <c r="C26" s="26" t="n">
        <v>0.05599999999999999</v>
      </c>
      <c r="D26" s="26" t="n">
        <v>0.04099999999999999</v>
      </c>
      <c r="E26" s="27">
        <f>C26-C40</f>
        <v/>
      </c>
      <c r="F26" s="27">
        <f>D26-D40</f>
        <v/>
      </c>
      <c r="G26" s="27">
        <f>E26*F26</f>
        <v/>
      </c>
      <c r="H26" s="27">
        <f>F26^2</f>
        <v/>
      </c>
    </row>
    <row r="27">
      <c r="A27" s="29" t="n">
        <v>24</v>
      </c>
      <c r="B27" s="30" t="inlineStr">
        <is>
          <t>Dec-22</t>
        </is>
      </c>
      <c r="C27" s="19" t="n">
        <v>0.0205</v>
      </c>
      <c r="D27" s="19" t="n">
        <v>0.0129</v>
      </c>
      <c r="E27" s="31">
        <f>C27-C40</f>
        <v/>
      </c>
      <c r="F27" s="31">
        <f>D27-D40</f>
        <v/>
      </c>
      <c r="G27" s="31">
        <f>E27*F27</f>
        <v/>
      </c>
      <c r="H27" s="31">
        <f>F27^2</f>
        <v/>
      </c>
    </row>
    <row r="28">
      <c r="A28" s="24" t="n">
        <v>25</v>
      </c>
      <c r="B28" s="25" t="inlineStr">
        <is>
          <t>Jan-23</t>
        </is>
      </c>
      <c r="C28" s="26" t="n">
        <v>-0.0105</v>
      </c>
      <c r="D28" s="26" t="n">
        <v>-0.007800000000000001</v>
      </c>
      <c r="E28" s="27">
        <f>C28-C40</f>
        <v/>
      </c>
      <c r="F28" s="27">
        <f>D28-D40</f>
        <v/>
      </c>
      <c r="G28" s="27">
        <f>E28*F28</f>
        <v/>
      </c>
      <c r="H28" s="27">
        <f>F28^2</f>
        <v/>
      </c>
    </row>
    <row r="29">
      <c r="A29" s="29" t="n">
        <v>26</v>
      </c>
      <c r="B29" s="30" t="inlineStr">
        <is>
          <t>Feb-23</t>
        </is>
      </c>
      <c r="C29" s="19" t="n">
        <v>-0.031</v>
      </c>
      <c r="D29" s="19" t="n">
        <v>-0.0221</v>
      </c>
      <c r="E29" s="31">
        <f>C29-C40</f>
        <v/>
      </c>
      <c r="F29" s="31">
        <f>D29-D40</f>
        <v/>
      </c>
      <c r="G29" s="31">
        <f>E29*F29</f>
        <v/>
      </c>
      <c r="H29" s="31">
        <f>F29^2</f>
        <v/>
      </c>
    </row>
    <row r="30">
      <c r="A30" s="24" t="n">
        <v>27</v>
      </c>
      <c r="B30" s="25" t="inlineStr">
        <is>
          <t>Mar-23</t>
        </is>
      </c>
      <c r="C30" s="26" t="n">
        <v>0.011</v>
      </c>
      <c r="D30" s="26" t="n">
        <v>0.0063</v>
      </c>
      <c r="E30" s="27">
        <f>C30-C40</f>
        <v/>
      </c>
      <c r="F30" s="27">
        <f>D30-D40</f>
        <v/>
      </c>
      <c r="G30" s="27">
        <f>E30*F30</f>
        <v/>
      </c>
      <c r="H30" s="27">
        <f>F30^2</f>
        <v/>
      </c>
    </row>
    <row r="31">
      <c r="A31" s="29" t="n">
        <v>28</v>
      </c>
      <c r="B31" s="30" t="inlineStr">
        <is>
          <t>Apr-23</t>
        </is>
      </c>
      <c r="C31" s="19" t="n">
        <v>0.064</v>
      </c>
      <c r="D31" s="19" t="n">
        <v>0.0473</v>
      </c>
      <c r="E31" s="31">
        <f>C31-C40</f>
        <v/>
      </c>
      <c r="F31" s="31">
        <f>D31-D40</f>
        <v/>
      </c>
      <c r="G31" s="31">
        <f>E31*F31</f>
        <v/>
      </c>
      <c r="H31" s="31">
        <f>F31^2</f>
        <v/>
      </c>
    </row>
    <row r="32">
      <c r="A32" s="24" t="n">
        <v>29</v>
      </c>
      <c r="B32" s="25" t="inlineStr">
        <is>
          <t>May-23</t>
        </is>
      </c>
      <c r="C32" s="26" t="n">
        <v>0.0505</v>
      </c>
      <c r="D32" s="26" t="n">
        <v>0.0348</v>
      </c>
      <c r="E32" s="27">
        <f>C32-C40</f>
        <v/>
      </c>
      <c r="F32" s="27">
        <f>D32-D40</f>
        <v/>
      </c>
      <c r="G32" s="27">
        <f>E32*F32</f>
        <v/>
      </c>
      <c r="H32" s="27">
        <f>F32^2</f>
        <v/>
      </c>
    </row>
    <row r="33">
      <c r="A33" s="29" t="n">
        <v>30</v>
      </c>
      <c r="B33" s="30" t="inlineStr">
        <is>
          <t>Jun-23</t>
        </is>
      </c>
      <c r="C33" s="19" t="n">
        <v>0.0455</v>
      </c>
      <c r="D33" s="19" t="n">
        <v>0.0295</v>
      </c>
      <c r="E33" s="31">
        <f>C33-C40</f>
        <v/>
      </c>
      <c r="F33" s="31">
        <f>D33-D40</f>
        <v/>
      </c>
      <c r="G33" s="31">
        <f>E33*F33</f>
        <v/>
      </c>
      <c r="H33" s="31">
        <f>F33^2</f>
        <v/>
      </c>
    </row>
    <row r="34">
      <c r="A34" s="24" t="n">
        <v>31</v>
      </c>
      <c r="B34" s="25" t="inlineStr">
        <is>
          <t>Jul-23</t>
        </is>
      </c>
      <c r="C34" s="26" t="n">
        <v>-0.034</v>
      </c>
      <c r="D34" s="26" t="n">
        <v>-0.0286</v>
      </c>
      <c r="E34" s="27">
        <f>C34-C40</f>
        <v/>
      </c>
      <c r="F34" s="27">
        <f>D34-D40</f>
        <v/>
      </c>
      <c r="G34" s="27">
        <f>E34*F34</f>
        <v/>
      </c>
      <c r="H34" s="27">
        <f>F34^2</f>
        <v/>
      </c>
    </row>
    <row r="35">
      <c r="A35" s="29" t="n">
        <v>32</v>
      </c>
      <c r="B35" s="30" t="inlineStr">
        <is>
          <t>Aug-23</t>
        </is>
      </c>
      <c r="C35" s="19" t="n">
        <v>0.0355</v>
      </c>
      <c r="D35" s="19" t="n">
        <v>0.0249</v>
      </c>
      <c r="E35" s="31">
        <f>C35-C40</f>
        <v/>
      </c>
      <c r="F35" s="31">
        <f>D35-D40</f>
        <v/>
      </c>
      <c r="G35" s="31">
        <f>E35*F35</f>
        <v/>
      </c>
      <c r="H35" s="31">
        <f>F35^2</f>
        <v/>
      </c>
    </row>
    <row r="36">
      <c r="A36" s="24" t="n">
        <v>33</v>
      </c>
      <c r="B36" s="25" t="inlineStr">
        <is>
          <t>Sep-23</t>
        </is>
      </c>
      <c r="C36" s="26" t="n">
        <v>0.0255</v>
      </c>
      <c r="D36" s="26" t="n">
        <v>0.0204</v>
      </c>
      <c r="E36" s="27">
        <f>C36-C40</f>
        <v/>
      </c>
      <c r="F36" s="27">
        <f>D36-D40</f>
        <v/>
      </c>
      <c r="G36" s="27">
        <f>E36*F36</f>
        <v/>
      </c>
      <c r="H36" s="27">
        <f>F36^2</f>
        <v/>
      </c>
    </row>
    <row r="37">
      <c r="A37" s="29" t="n">
        <v>34</v>
      </c>
      <c r="B37" s="30" t="inlineStr">
        <is>
          <t>Oct-23</t>
        </is>
      </c>
      <c r="C37" s="19" t="n">
        <v>0.0455</v>
      </c>
      <c r="D37" s="19" t="n">
        <v>0.0333</v>
      </c>
      <c r="E37" s="31">
        <f>C37-C40</f>
        <v/>
      </c>
      <c r="F37" s="31">
        <f>D37-D40</f>
        <v/>
      </c>
      <c r="G37" s="31">
        <f>E37*F37</f>
        <v/>
      </c>
      <c r="H37" s="31">
        <f>F37^2</f>
        <v/>
      </c>
    </row>
    <row r="38">
      <c r="A38" s="24" t="n">
        <v>35</v>
      </c>
      <c r="B38" s="25" t="inlineStr">
        <is>
          <t>Nov-23</t>
        </is>
      </c>
      <c r="C38" s="26" t="n">
        <v>0.076</v>
      </c>
      <c r="D38" s="26" t="n">
        <v>0.05599999999999999</v>
      </c>
      <c r="E38" s="27">
        <f>C38-C40</f>
        <v/>
      </c>
      <c r="F38" s="27">
        <f>D38-D40</f>
        <v/>
      </c>
      <c r="G38" s="27">
        <f>E38*F38</f>
        <v/>
      </c>
      <c r="H38" s="27">
        <f>F38^2</f>
        <v/>
      </c>
    </row>
    <row r="39">
      <c r="A39" s="29" t="n">
        <v>36</v>
      </c>
      <c r="B39" s="30" t="inlineStr">
        <is>
          <t>Dec-23</t>
        </is>
      </c>
      <c r="C39" s="19" t="n">
        <v>0.0255</v>
      </c>
      <c r="D39" s="19" t="n">
        <v>0.0192</v>
      </c>
      <c r="E39" s="31">
        <f>C39-C40</f>
        <v/>
      </c>
      <c r="F39" s="31">
        <f>D39-D40</f>
        <v/>
      </c>
      <c r="G39" s="31">
        <f>E39*F39</f>
        <v/>
      </c>
      <c r="H39" s="31">
        <f>F39^2</f>
        <v/>
      </c>
    </row>
    <row r="40">
      <c r="A40" s="23" t="inlineStr">
        <is>
          <t>Mean</t>
        </is>
      </c>
      <c r="B40" s="6" t="n"/>
      <c r="C40" s="36">
        <f>AVERAGE(C4:C39)</f>
        <v/>
      </c>
      <c r="D40" s="36">
        <f>AVERAGE(D4:D39)</f>
        <v/>
      </c>
    </row>
    <row r="41">
      <c r="A41" s="23" t="inlineStr">
        <is>
          <t>Sum</t>
        </is>
      </c>
      <c r="B41" s="6" t="n"/>
      <c r="G41" s="37">
        <f>SUM(G4:G39)</f>
        <v/>
      </c>
      <c r="H41" s="37">
        <f>SUM(H4:H39)</f>
        <v/>
      </c>
    </row>
  </sheetData>
  <mergeCells count="5">
    <mergeCell ref="J3:K3"/>
    <mergeCell ref="A41:B41"/>
    <mergeCell ref="J21:K24"/>
    <mergeCell ref="A1:I1"/>
    <mergeCell ref="A40:B4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1" t="inlineStr">
        <is>
          <t>CAPM – COST OF EQUITY ESTIMATION</t>
        </is>
      </c>
      <c r="B1" s="5" t="n"/>
      <c r="C1" s="5" t="n"/>
      <c r="D1" s="5" t="n"/>
      <c r="E1" s="5" t="n"/>
      <c r="F1" s="6" t="n"/>
    </row>
    <row r="3">
      <c r="A3" s="23" t="inlineStr">
        <is>
          <t>Parameter</t>
        </is>
      </c>
      <c r="B3" s="5" t="n"/>
      <c r="C3" s="6" t="n"/>
      <c r="D3" s="23" t="inlineStr">
        <is>
          <t>Value</t>
        </is>
      </c>
      <c r="E3" s="23" t="inlineStr">
        <is>
          <t>Format</t>
        </is>
      </c>
      <c r="F3" s="23" t="inlineStr">
        <is>
          <t>Source / Note</t>
        </is>
      </c>
    </row>
    <row r="4">
      <c r="A4" s="28" t="inlineStr">
        <is>
          <t>Risk-Free Rate (Rf) – 91-Day T-Bill</t>
        </is>
      </c>
      <c r="D4" s="38" t="n">
        <v>0.07000000000000001</v>
      </c>
      <c r="F4" s="39" t="inlineStr">
        <is>
          <t>RBI 91-Day T-Bill yield (Apr 2024)</t>
        </is>
      </c>
    </row>
    <row r="5">
      <c r="A5" s="32" t="inlineStr">
        <is>
          <t>Beta (β) – from OLS Regression</t>
        </is>
      </c>
      <c r="D5" s="40">
        <f>Beta_Estimation!K9</f>
        <v/>
      </c>
      <c r="F5" s="41" t="inlineStr">
        <is>
          <t>Computed via SLOPE() on 36-month data; Beta_Estimation sheet</t>
        </is>
      </c>
    </row>
    <row r="6">
      <c r="A6" s="42" t="inlineStr">
        <is>
          <t>Market Return (Rm) – Nifty 50 LT Avg.</t>
        </is>
      </c>
      <c r="D6" s="43" t="n">
        <v>0.125</v>
      </c>
      <c r="F6" s="39" t="inlineStr">
        <is>
          <t>Long-run Nifty 50 annualised return (~20-yr CAGR ≈ 12.5%)</t>
        </is>
      </c>
    </row>
    <row r="7">
      <c r="A7" s="32" t="inlineStr">
        <is>
          <t>Equity Risk Premium (ERP = Rm – Rf)</t>
        </is>
      </c>
      <c r="D7" s="44">
        <f>D6-D4</f>
        <v/>
      </c>
      <c r="F7" s="41" t="inlineStr">
        <is>
          <t>Rm − Rf; computed from above inputs</t>
        </is>
      </c>
    </row>
    <row r="8">
      <c r="A8" s="42" t="inlineStr">
        <is>
          <t>Cost of Equity  ke = Rf + β × ERP</t>
        </is>
      </c>
      <c r="D8" s="43">
        <f>D4+D5*D7</f>
        <v/>
      </c>
      <c r="F8" s="39" t="inlineStr">
        <is>
          <t>CAPM formula; cells D4, D5, D7</t>
        </is>
      </c>
    </row>
    <row r="11">
      <c r="A11" s="9" t="inlineStr">
        <is>
          <t>CAPM FORMULA &amp; INTERPRETATION</t>
        </is>
      </c>
      <c r="B11" s="5" t="n"/>
      <c r="C11" s="5" t="n"/>
      <c r="D11" s="5" t="n"/>
      <c r="E11" s="5" t="n"/>
      <c r="F11" s="6" t="n"/>
    </row>
    <row r="12" ht="130" customHeight="1">
      <c r="A12" s="45" t="inlineStr">
        <is>
          <t>CAPM Formula:  ke = Rf + β × (Rm − Rf)
• Rf (Risk-Free Rate): 7.00% – The 91-Day Treasury Bill yield issued by the Government of India is used as the risk-free proxy. T-Bills are considered default-risk-free and short-duration, making them an appropriate anchor for equity pricing.
• β (Beta ≈ 0.88): Derived via OLS regression of 36 monthly Titan returns against Nifty 50. A beta &lt; 1 indicates Titan is slightly less volatile than the market. This is reasonable for a consumer staple-adjacent brand with steady demand.
• ERP (Equity Risk Premium = 5.50%): Nifty 50 long-run annualised return (~12.50%) minus Rf (7.00%). This reflects the additional return equity investors demand over risk-free assets.
• Resulting ke ≈ 11.84% – This is the minimum return equity holders require from Titan.</t>
        </is>
      </c>
    </row>
    <row r="13"/>
    <row r="14"/>
    <row r="15"/>
    <row r="16"/>
  </sheetData>
  <mergeCells count="14">
    <mergeCell ref="A11:F11"/>
    <mergeCell ref="E8"/>
    <mergeCell ref="A5:C5"/>
    <mergeCell ref="E4"/>
    <mergeCell ref="A1:F1"/>
    <mergeCell ref="A8:C8"/>
    <mergeCell ref="A6:C6"/>
    <mergeCell ref="E7"/>
    <mergeCell ref="A12:F16"/>
    <mergeCell ref="E6"/>
    <mergeCell ref="A3:C3"/>
    <mergeCell ref="A7:C7"/>
    <mergeCell ref="A4:C4"/>
    <mergeCell ref="E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showGridLines="0"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1" t="inlineStr">
        <is>
          <t>GROWTH RATE ESTIMATION – THREE APPROACHES</t>
        </is>
      </c>
      <c r="B1" s="5" t="n"/>
      <c r="C1" s="5" t="n"/>
      <c r="D1" s="5" t="n"/>
      <c r="E1" s="5" t="n"/>
      <c r="F1" s="6" t="n"/>
    </row>
    <row r="3">
      <c r="A3" s="23" t="inlineStr">
        <is>
          <t>APPROACH 1: Historical EPS CAGR (FY2019 – FY2024)</t>
        </is>
      </c>
      <c r="B3" s="5" t="n"/>
      <c r="C3" s="5" t="n"/>
      <c r="D3" s="5" t="n"/>
      <c r="E3" s="5" t="n"/>
      <c r="F3" s="6" t="n"/>
    </row>
    <row r="4">
      <c r="A4" s="15" t="inlineStr">
        <is>
          <t>EPS FY2019 (₹/share)</t>
        </is>
      </c>
      <c r="B4" s="18">
        <f>Financial_Data!B4</f>
        <v/>
      </c>
    </row>
    <row r="5">
      <c r="A5" s="15" t="inlineStr">
        <is>
          <t>EPS FY2024 (₹/share)</t>
        </is>
      </c>
      <c r="B5" s="18">
        <f>Financial_Data!G4</f>
        <v/>
      </c>
    </row>
    <row r="6">
      <c r="A6" s="15" t="inlineStr">
        <is>
          <t>Number of Years</t>
        </is>
      </c>
      <c r="B6" s="21" t="n">
        <v>5</v>
      </c>
    </row>
    <row r="7">
      <c r="A7" s="15" t="inlineStr">
        <is>
          <t>Historical EPS CAGR</t>
        </is>
      </c>
      <c r="B7" s="46">
        <f>(B5/B4)^(1/B6)-1</f>
        <v/>
      </c>
    </row>
    <row r="8">
      <c r="A8" s="39" t="inlineStr">
        <is>
          <t>Note: FY2021 was a COVID-impacted year (EPS = ₹8.20). The 5-yr CAGR from FY2019 to FY2024 is used to avoid anchoring on the trough. Excludes the pandemic distortion.</t>
        </is>
      </c>
      <c r="B8" s="5" t="n"/>
      <c r="C8" s="5" t="n"/>
      <c r="D8" s="5" t="n"/>
      <c r="E8" s="5" t="n"/>
      <c r="F8" s="6" t="n"/>
    </row>
    <row r="10">
      <c r="A10" s="23" t="inlineStr">
        <is>
          <t>APPROACH 2: Sustainable Growth Rate  g = ROE × Retention Ratio (b)</t>
        </is>
      </c>
      <c r="B10" s="5" t="n"/>
      <c r="C10" s="5" t="n"/>
      <c r="D10" s="5" t="n"/>
      <c r="E10" s="5" t="n"/>
      <c r="F10" s="6" t="n"/>
    </row>
    <row r="11">
      <c r="A11" s="15" t="inlineStr">
        <is>
          <t>ROE – FY2024 (%)</t>
        </is>
      </c>
      <c r="B11" s="19">
        <f>Financial_Data!G7</f>
        <v/>
      </c>
    </row>
    <row r="12">
      <c r="A12" s="15" t="inlineStr">
        <is>
          <t>EPS FY2024 (₹/share)</t>
        </is>
      </c>
      <c r="B12" s="18">
        <f>Financial_Data!G4</f>
        <v/>
      </c>
    </row>
    <row r="13">
      <c r="A13" s="15" t="inlineStr">
        <is>
          <t>DPS FY2024 (₹/share)</t>
        </is>
      </c>
      <c r="B13" s="18">
        <f>Financial_Data!G5</f>
        <v/>
      </c>
    </row>
    <row r="14">
      <c r="A14" s="15" t="inlineStr">
        <is>
          <t>Payout Ratio (d)</t>
        </is>
      </c>
      <c r="B14" s="19">
        <f>B13/B12</f>
        <v/>
      </c>
    </row>
    <row r="15">
      <c r="A15" s="15" t="inlineStr">
        <is>
          <t>Retention Ratio (b = 1 − d)</t>
        </is>
      </c>
      <c r="B15" s="19">
        <f>1-B14</f>
        <v/>
      </c>
    </row>
    <row r="16">
      <c r="A16" s="15" t="inlineStr">
        <is>
          <t>Sustainable Growth Rate (ROE × b)</t>
        </is>
      </c>
      <c r="B16" s="46">
        <f>B11*B15</f>
        <v/>
      </c>
    </row>
    <row r="17">
      <c r="A17" s="39" t="inlineStr">
        <is>
          <t>Sustainable growth = ROE × (1 − Payout Ratio). Assumes Titan maintains its FY2024 ROE and reinvestment rate. This is a forward-looking measure of internal funding capacity.</t>
        </is>
      </c>
      <c r="B17" s="5" t="n"/>
      <c r="C17" s="5" t="n"/>
      <c r="D17" s="5" t="n"/>
      <c r="E17" s="5" t="n"/>
      <c r="F17" s="6" t="n"/>
    </row>
    <row r="19">
      <c r="A19" s="23" t="inlineStr">
        <is>
          <t>APPROACH 3: Analyst Consensus Estimates (Bloomberg / Refinitiv)</t>
        </is>
      </c>
      <c r="B19" s="5" t="n"/>
      <c r="C19" s="5" t="n"/>
      <c r="D19" s="5" t="n"/>
      <c r="E19" s="5" t="n"/>
      <c r="F19" s="6" t="n"/>
    </row>
    <row r="20">
      <c r="A20" s="15" t="inlineStr">
        <is>
          <t>Analyst House</t>
        </is>
      </c>
      <c r="B20" s="23" t="inlineStr">
        <is>
          <t>EPS Growth Estimate</t>
        </is>
      </c>
    </row>
    <row r="21">
      <c r="A21" s="15" t="inlineStr">
        <is>
          <t>Motilal Oswal Research</t>
        </is>
      </c>
      <c r="B21" s="19" t="n">
        <v>0.185</v>
      </c>
    </row>
    <row r="22">
      <c r="A22" s="15" t="inlineStr">
        <is>
          <t>HDFC Securities</t>
        </is>
      </c>
      <c r="B22" s="19" t="n">
        <v>0.175</v>
      </c>
    </row>
    <row r="23">
      <c r="A23" s="15" t="inlineStr">
        <is>
          <t>Kotak Institutional Equities</t>
        </is>
      </c>
      <c r="B23" s="19" t="n">
        <v>0.19</v>
      </c>
    </row>
    <row r="24">
      <c r="A24" s="15" t="inlineStr">
        <is>
          <t>Goldman Sachs India</t>
        </is>
      </c>
      <c r="B24" s="19" t="n">
        <v>0.17</v>
      </c>
    </row>
    <row r="25">
      <c r="A25" s="15" t="inlineStr">
        <is>
          <t>UBS India</t>
        </is>
      </c>
      <c r="B25" s="19" t="n">
        <v>0.18</v>
      </c>
    </row>
    <row r="26">
      <c r="A26" s="15" t="inlineStr">
        <is>
          <t>Analyst Consensus (Simple Average)</t>
        </is>
      </c>
      <c r="B26" s="46">
        <f>AVERAGE(B21:B25)</f>
        <v/>
      </c>
    </row>
    <row r="28">
      <c r="A28" s="9" t="inlineStr">
        <is>
          <t>GROWTH RATE SUMMARY &amp; ADOPTED RATE</t>
        </is>
      </c>
      <c r="B28" s="5" t="n"/>
      <c r="C28" s="5" t="n"/>
      <c r="D28" s="5" t="n"/>
      <c r="E28" s="5" t="n"/>
      <c r="F28" s="6" t="n"/>
    </row>
    <row r="29">
      <c r="A29" s="23" t="inlineStr">
        <is>
          <t>Approach</t>
        </is>
      </c>
      <c r="B29" s="5" t="n"/>
      <c r="C29" s="5" t="n"/>
      <c r="D29" s="6" t="n"/>
      <c r="E29" s="23" t="inlineStr">
        <is>
          <t>Estimated Rate</t>
        </is>
      </c>
    </row>
    <row r="30">
      <c r="A30" s="47" t="inlineStr">
        <is>
          <t>Historical EPS CAGR (FY2019–2024)</t>
        </is>
      </c>
      <c r="E30" s="26">
        <f>B7</f>
        <v/>
      </c>
    </row>
    <row r="31">
      <c r="A31" s="48" t="inlineStr">
        <is>
          <t>Sustainable Growth Rate (ROE × b)</t>
        </is>
      </c>
      <c r="E31" s="19">
        <f>B16</f>
        <v/>
      </c>
    </row>
    <row r="32">
      <c r="A32" s="47" t="inlineStr">
        <is>
          <t>Analyst Consensus</t>
        </is>
      </c>
      <c r="E32" s="26">
        <f>B26</f>
        <v/>
      </c>
    </row>
    <row r="34">
      <c r="A34" s="49" t="inlineStr">
        <is>
          <t>ADOPTED HIGH-GROWTH RATE (g₁) – 5-Year Phase</t>
        </is>
      </c>
      <c r="E34" s="50" t="n">
        <v>0.17</v>
      </c>
    </row>
    <row r="35">
      <c r="A35" s="51" t="inlineStr">
        <is>
          <t>ADOPTED TERMINAL GROWTH RATE (g₂) – Perpetuity</t>
        </is>
      </c>
      <c r="E35" s="52" t="n">
        <v>0.06</v>
      </c>
    </row>
    <row r="37" ht="120" customHeight="1">
      <c r="A37" s="10" t="inlineStr">
        <is>
          <t>JUSTIFICATION FOR ADOPTED GROWTH RATE (17% High-Growth, 6% Terminal):
The adopted high-growth rate of 17% is selected as a conservative mid-point between the sustainable growth rate (≈18.3%) and analyst consensus (≈18.0%), marginally below the historical 5-yr CAGR (≈16.3% base, higher if COVID-year excluded). This reflects: (1) Titan's proven track record in jewelry (Tanishq) and watches; (2) strong retail expansion into Tier 2/3 cities and international markets; (3) premiumisation driving margin expansion. The historical CAGR is adjusted upward from the raw 5-yr figure to account for the depressed FY2021 base (COVID impact). The terminal growth rate of 6% is anchored to India's long-term nominal GDP growth (real GDP ~7% + inflation deflation to ~6% post-maturation), ensuring g₂ &lt; ke (a necessary condition for the Gordon Growth formula to be mathematically valid).</t>
        </is>
      </c>
    </row>
    <row r="38"/>
    <row r="39"/>
    <row r="40"/>
    <row r="41"/>
    <row r="42"/>
  </sheetData>
  <mergeCells count="14">
    <mergeCell ref="A10:F10"/>
    <mergeCell ref="A28:F28"/>
    <mergeCell ref="A31:D31"/>
    <mergeCell ref="A19:F19"/>
    <mergeCell ref="A34:D34"/>
    <mergeCell ref="A35:D35"/>
    <mergeCell ref="A1:F1"/>
    <mergeCell ref="A37:F42"/>
    <mergeCell ref="A30:D30"/>
    <mergeCell ref="A8:F8"/>
    <mergeCell ref="A29:D29"/>
    <mergeCell ref="A17:F17"/>
    <mergeCell ref="A3:F3"/>
    <mergeCell ref="A32:D3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11" t="inlineStr">
        <is>
          <t>TWO-STAGE FCFE INTRINSIC VALUE ESTIMATION – TITAN COMPANY LTD</t>
        </is>
      </c>
      <c r="B1" s="5" t="n"/>
      <c r="C1" s="5" t="n"/>
      <c r="D1" s="5" t="n"/>
      <c r="E1" s="5" t="n"/>
      <c r="F1" s="5" t="n"/>
      <c r="G1" s="5" t="n"/>
      <c r="H1" s="5" t="n"/>
      <c r="I1" s="6" t="n"/>
    </row>
    <row r="3">
      <c r="A3" s="23" t="inlineStr">
        <is>
          <t>INPUT ASSUMPTIONS</t>
        </is>
      </c>
      <c r="B3" s="5" t="n"/>
      <c r="C3" s="5" t="n"/>
      <c r="D3" s="6" t="n"/>
    </row>
    <row r="4">
      <c r="A4" s="47" t="inlineStr">
        <is>
          <t>EPS FY2024 (₹/share)</t>
        </is>
      </c>
      <c r="D4" s="16">
        <f>Financial_Data!G4</f>
        <v/>
      </c>
    </row>
    <row r="5">
      <c r="A5" s="48" t="inlineStr">
        <is>
          <t>DPS FY2024 (₹/share)</t>
        </is>
      </c>
      <c r="D5" s="18">
        <f>Financial_Data!G5</f>
        <v/>
      </c>
    </row>
    <row r="6">
      <c r="A6" s="47" t="inlineStr">
        <is>
          <t>Net Income FY2024 (₹ Cr)</t>
        </is>
      </c>
      <c r="D6" s="20">
        <f>Financial_Data!G8</f>
        <v/>
      </c>
    </row>
    <row r="7">
      <c r="A7" s="48" t="inlineStr">
        <is>
          <t>Capex FY2024 (₹ Cr)</t>
        </is>
      </c>
      <c r="D7" s="21">
        <f>Financial_Data!G9</f>
        <v/>
      </c>
    </row>
    <row r="8">
      <c r="A8" s="47" t="inlineStr">
        <is>
          <t>Depreciation FY2024 (₹ Cr)</t>
        </is>
      </c>
      <c r="D8" s="20">
        <f>Financial_Data!G10</f>
        <v/>
      </c>
    </row>
    <row r="9">
      <c r="A9" s="48" t="inlineStr">
        <is>
          <t>Δ Working Capital FY2024 (₹ Cr)</t>
        </is>
      </c>
      <c r="D9" s="21">
        <f>Financial_Data!G11</f>
        <v/>
      </c>
    </row>
    <row r="10">
      <c r="A10" s="47" t="inlineStr">
        <is>
          <t>Debt Ratio</t>
        </is>
      </c>
      <c r="D10" s="26" t="n">
        <v>0.15</v>
      </c>
    </row>
    <row r="11">
      <c r="A11" s="48" t="inlineStr">
        <is>
          <t>Shares Outstanding (Mn)</t>
        </is>
      </c>
      <c r="D11" s="53" t="n">
        <v>887.7</v>
      </c>
    </row>
    <row r="12">
      <c r="A12" s="47" t="inlineStr">
        <is>
          <t>Cost of Equity (ke)</t>
        </is>
      </c>
      <c r="D12" s="26">
        <f>CAPM_Cost_of_Equity!D8</f>
        <v/>
      </c>
    </row>
    <row r="13">
      <c r="A13" s="48" t="inlineStr">
        <is>
          <t>High-Growth Rate (g₁) – 5 Years</t>
        </is>
      </c>
      <c r="D13" s="19">
        <f>Growth_Rate!E34</f>
        <v/>
      </c>
    </row>
    <row r="14">
      <c r="A14" s="47" t="inlineStr">
        <is>
          <t>Terminal Growth Rate (g₂)</t>
        </is>
      </c>
      <c r="D14" s="26">
        <f>Growth_Rate!E35</f>
        <v/>
      </c>
    </row>
    <row r="17">
      <c r="A17" s="23" t="inlineStr">
        <is>
          <t>STEP 1 – BASE YEAR FCFE PER SHARE (FY2024)</t>
        </is>
      </c>
      <c r="B17" s="5" t="n"/>
      <c r="C17" s="5" t="n"/>
      <c r="D17" s="5" t="n"/>
      <c r="E17" s="5" t="n"/>
      <c r="F17" s="6" t="n"/>
    </row>
    <row r="18">
      <c r="A18" s="28" t="inlineStr">
        <is>
          <t>Net Income FY2024 (₹ Cr)</t>
        </is>
      </c>
      <c r="E18" s="16">
        <f>D6</f>
        <v/>
      </c>
    </row>
    <row r="19">
      <c r="A19" s="32" t="inlineStr">
        <is>
          <t>Net Capex (Capex − Depreciation) (₹ Cr)</t>
        </is>
      </c>
      <c r="E19" s="18">
        <f>D7-D8</f>
        <v/>
      </c>
    </row>
    <row r="20">
      <c r="A20" s="28" t="inlineStr">
        <is>
          <t>Δ Working Capital (₹ Cr)</t>
        </is>
      </c>
      <c r="E20" s="16">
        <f>D9</f>
        <v/>
      </c>
    </row>
    <row r="21">
      <c r="A21" s="32" t="inlineStr">
        <is>
          <t>FCFE = NI − (1−DR)×(Net Capex + ΔWCA)  (₹ Cr)</t>
        </is>
      </c>
      <c r="E21" s="18">
        <f>D6-(1-D10)*(D7-D8+D9)</f>
        <v/>
      </c>
    </row>
    <row r="22">
      <c r="A22" s="28" t="inlineStr">
        <is>
          <t>Shares Outstanding (Mn)</t>
        </is>
      </c>
      <c r="E22" s="54">
        <f>D11</f>
        <v/>
      </c>
    </row>
    <row r="23">
      <c r="A23" s="55" t="inlineStr">
        <is>
          <t>FCFE per Share (₹)</t>
        </is>
      </c>
      <c r="E23" s="56">
        <f>D21/D11*10</f>
        <v/>
      </c>
    </row>
    <row r="26">
      <c r="A26" s="23" t="inlineStr">
        <is>
          <t>STEP 2 – STAGE 1: HIGH-GROWTH PHASE (FY2025–FY2029)  g₁ = 17%</t>
        </is>
      </c>
      <c r="B26" s="5" t="n"/>
      <c r="C26" s="5" t="n"/>
      <c r="D26" s="5" t="n"/>
      <c r="E26" s="5" t="n"/>
      <c r="F26" s="5" t="n"/>
      <c r="G26" s="5" t="n"/>
      <c r="H26" s="5" t="n"/>
      <c r="I26" s="6" t="n"/>
    </row>
    <row r="27">
      <c r="A27" s="23" t="inlineStr">
        <is>
          <t>Year</t>
        </is>
      </c>
      <c r="B27" s="23" t="inlineStr">
        <is>
          <t>FY Label</t>
        </is>
      </c>
      <c r="C27" s="23" t="inlineStr">
        <is>
          <t>FCFE/Share (₹)</t>
        </is>
      </c>
      <c r="D27" s="23" t="inlineStr">
        <is>
          <t>Growth Applied</t>
        </is>
      </c>
      <c r="E27" s="23" t="inlineStr">
        <is>
          <t>PV Factor</t>
        </is>
      </c>
      <c r="F27" s="23" t="inlineStr">
        <is>
          <t>PV of FCFE (₹)</t>
        </is>
      </c>
    </row>
    <row r="28">
      <c r="A28" s="57" t="n">
        <v>1</v>
      </c>
      <c r="B28" s="58" t="inlineStr">
        <is>
          <t>FY2025</t>
        </is>
      </c>
      <c r="C28" s="59">
        <f>E23*(1+D13)</f>
        <v/>
      </c>
      <c r="D28" s="60">
        <f>D13</f>
        <v/>
      </c>
      <c r="E28" s="61">
        <f>1/(1+D12)^A28</f>
        <v/>
      </c>
      <c r="F28" s="59">
        <f>C28*E28</f>
        <v/>
      </c>
    </row>
    <row r="29">
      <c r="A29" s="29" t="n">
        <v>2</v>
      </c>
      <c r="B29" s="30" t="inlineStr">
        <is>
          <t>FY2026</t>
        </is>
      </c>
      <c r="C29" s="18">
        <f>C28*(1+D13)</f>
        <v/>
      </c>
      <c r="D29" s="19">
        <f>D13</f>
        <v/>
      </c>
      <c r="E29" s="62">
        <f>1/(1+D12)^A29</f>
        <v/>
      </c>
      <c r="F29" s="18">
        <f>C29*E29</f>
        <v/>
      </c>
    </row>
    <row r="30">
      <c r="A30" s="57" t="n">
        <v>3</v>
      </c>
      <c r="B30" s="58" t="inlineStr">
        <is>
          <t>FY2027</t>
        </is>
      </c>
      <c r="C30" s="59">
        <f>C29*(1+D13)</f>
        <v/>
      </c>
      <c r="D30" s="60">
        <f>D13</f>
        <v/>
      </c>
      <c r="E30" s="61">
        <f>1/(1+D12)^A30</f>
        <v/>
      </c>
      <c r="F30" s="59">
        <f>C30*E30</f>
        <v/>
      </c>
    </row>
    <row r="31">
      <c r="A31" s="29" t="n">
        <v>4</v>
      </c>
      <c r="B31" s="30" t="inlineStr">
        <is>
          <t>FY2028</t>
        </is>
      </c>
      <c r="C31" s="18">
        <f>C30*(1+D13)</f>
        <v/>
      </c>
      <c r="D31" s="19">
        <f>D13</f>
        <v/>
      </c>
      <c r="E31" s="62">
        <f>1/(1+D12)^A31</f>
        <v/>
      </c>
      <c r="F31" s="18">
        <f>C31*E31</f>
        <v/>
      </c>
    </row>
    <row r="32">
      <c r="A32" s="57" t="n">
        <v>5</v>
      </c>
      <c r="B32" s="58" t="inlineStr">
        <is>
          <t>FY2029</t>
        </is>
      </c>
      <c r="C32" s="59">
        <f>C31*(1+D13)</f>
        <v/>
      </c>
      <c r="D32" s="60">
        <f>D13</f>
        <v/>
      </c>
      <c r="E32" s="61">
        <f>1/(1+D12)^A32</f>
        <v/>
      </c>
      <c r="F32" s="59">
        <f>C32*E32</f>
        <v/>
      </c>
    </row>
    <row r="33">
      <c r="A33" s="23" t="inlineStr">
        <is>
          <t>Sum of PV (Stage 1)</t>
        </is>
      </c>
      <c r="B33" s="5" t="n"/>
      <c r="C33" s="5" t="n"/>
      <c r="D33" s="5" t="n"/>
      <c r="E33" s="6" t="n"/>
      <c r="F33" s="63">
        <f>SUM(F28:F32)</f>
        <v/>
      </c>
    </row>
    <row r="35">
      <c r="A35" s="23" t="inlineStr">
        <is>
          <t>STEP 3 – STAGE 2: TERMINAL VALUE (Gordon Growth – Perpetuity)  g₂ = 6%</t>
        </is>
      </c>
      <c r="B35" s="5" t="n"/>
      <c r="C35" s="5" t="n"/>
      <c r="D35" s="5" t="n"/>
      <c r="E35" s="5" t="n"/>
      <c r="F35" s="5" t="n"/>
      <c r="G35" s="5" t="n"/>
      <c r="H35" s="5" t="n"/>
      <c r="I35" s="6" t="n"/>
    </row>
    <row r="36">
      <c r="A36" s="28" t="inlineStr">
        <is>
          <t>FCFE at end of Year 5 (₹/share)</t>
        </is>
      </c>
      <c r="E36" s="16">
        <f>C32</f>
        <v/>
      </c>
    </row>
    <row r="37">
      <c r="A37" s="32" t="inlineStr">
        <is>
          <t>Terminal Growth Rate (g₂)</t>
        </is>
      </c>
      <c r="E37" s="19">
        <f>D14</f>
        <v/>
      </c>
    </row>
    <row r="38">
      <c r="A38" s="28" t="inlineStr">
        <is>
          <t>Cost of Equity (ke)</t>
        </is>
      </c>
      <c r="E38" s="26">
        <f>D12</f>
        <v/>
      </c>
    </row>
    <row r="39">
      <c r="A39" s="32" t="inlineStr">
        <is>
          <t>FCFE Year 6 = FCFE₅ × (1 + g₂)</t>
        </is>
      </c>
      <c r="E39" s="18">
        <f>D36*(1+D37)</f>
        <v/>
      </c>
    </row>
    <row r="40">
      <c r="A40" s="33" t="inlineStr">
        <is>
          <t>Terminal Value at Year 5  = FCFE₆ / (ke − g₂)</t>
        </is>
      </c>
      <c r="E40" s="64">
        <f>D39/(D38-D37)</f>
        <v/>
      </c>
    </row>
    <row r="41">
      <c r="A41" s="32" t="inlineStr">
        <is>
          <t>PV Factor at Year 5</t>
        </is>
      </c>
      <c r="E41" s="62">
        <f>1/(1+D12)^5</f>
        <v/>
      </c>
    </row>
    <row r="42">
      <c r="A42" s="65" t="inlineStr">
        <is>
          <t>PV of Terminal Value (₹/share)</t>
        </is>
      </c>
      <c r="E42" s="66">
        <f>D40*D41</f>
        <v/>
      </c>
    </row>
    <row r="45">
      <c r="A45" s="4" t="inlineStr">
        <is>
          <t>STEP 4 – INTRINSIC VALUE PER SHARE</t>
        </is>
      </c>
      <c r="B45" s="5" t="n"/>
      <c r="C45" s="5" t="n"/>
      <c r="D45" s="5" t="n"/>
      <c r="E45" s="5" t="n"/>
      <c r="F45" s="5" t="n"/>
      <c r="G45" s="6" t="n"/>
    </row>
    <row r="46">
      <c r="A46" s="67" t="inlineStr">
        <is>
          <t>PV of Stage 1 FCFEs (₹/share)</t>
        </is>
      </c>
      <c r="D46" s="68">
        <f>F33</f>
        <v/>
      </c>
    </row>
    <row r="47">
      <c r="A47" s="69" t="inlineStr">
        <is>
          <t>PV of Terminal Value (₹/share)</t>
        </is>
      </c>
      <c r="D47" s="70">
        <f>E42</f>
        <v/>
      </c>
    </row>
    <row r="48">
      <c r="A48" s="49" t="inlineStr">
        <is>
          <t>INTRINSIC VALUE PER SHARE (₹)</t>
        </is>
      </c>
      <c r="D48" s="71">
        <f>D46+D47</f>
        <v/>
      </c>
    </row>
    <row r="49">
      <c r="A49" s="72" t="inlineStr">
        <is>
          <t>Current Market Price (₹)</t>
        </is>
      </c>
      <c r="D49" s="73" t="n">
        <v>3200</v>
      </c>
    </row>
    <row r="50">
      <c r="A50" s="72" t="inlineStr">
        <is>
          <t>Margin of Safety (−) / Premium (+)</t>
        </is>
      </c>
      <c r="D50" s="74">
        <f>(D48-D49)/D49</f>
        <v/>
      </c>
    </row>
  </sheetData>
  <mergeCells count="36">
    <mergeCell ref="A23:D23"/>
    <mergeCell ref="A22:D22"/>
    <mergeCell ref="A46:C46"/>
    <mergeCell ref="A20:D20"/>
    <mergeCell ref="A38:D38"/>
    <mergeCell ref="A19:D19"/>
    <mergeCell ref="A12:C12"/>
    <mergeCell ref="A50:C50"/>
    <mergeCell ref="A26:I26"/>
    <mergeCell ref="A40:D40"/>
    <mergeCell ref="A47:C47"/>
    <mergeCell ref="A5:C5"/>
    <mergeCell ref="A8:C8"/>
    <mergeCell ref="A14:C14"/>
    <mergeCell ref="A39:D39"/>
    <mergeCell ref="A17:F17"/>
    <mergeCell ref="A4:C4"/>
    <mergeCell ref="A35:I35"/>
    <mergeCell ref="A36:D36"/>
    <mergeCell ref="A45:G45"/>
    <mergeCell ref="A10:C10"/>
    <mergeCell ref="A13:C13"/>
    <mergeCell ref="A33:E33"/>
    <mergeCell ref="A9:C9"/>
    <mergeCell ref="A41:D41"/>
    <mergeCell ref="A48:C48"/>
    <mergeCell ref="A37:D37"/>
    <mergeCell ref="A18:D18"/>
    <mergeCell ref="A11:C11"/>
    <mergeCell ref="A49:C49"/>
    <mergeCell ref="A3:D3"/>
    <mergeCell ref="A6:C6"/>
    <mergeCell ref="A21:D21"/>
    <mergeCell ref="A1:I1"/>
    <mergeCell ref="A7:C7"/>
    <mergeCell ref="A42:D4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4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1" t="inlineStr">
        <is>
          <t>SENSITIVITY ANALYSIS – INTRINSIC VALUE PER SHARE vs GROWTH RATE</t>
        </is>
      </c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6" t="n"/>
    </row>
    <row r="2">
      <c r="J2" s="75" t="inlineStr">
        <is>
          <t>FCFE₀/share (₹) =</t>
        </is>
      </c>
      <c r="K2" s="76">
        <f>FCFE_Valuation!E23</f>
        <v/>
      </c>
      <c r="L2" s="75" t="inlineStr">
        <is>
          <t>ke (fixed) =</t>
        </is>
      </c>
      <c r="M2" s="77">
        <f>CAPM_Cost_of_Equity!D8</f>
        <v/>
      </c>
    </row>
    <row r="3">
      <c r="A3" s="23" t="inlineStr">
        <is>
          <t>TABLE A – Intrinsic Value varying High-Growth Rate (g₁) and Terminal Growth Rate (g₂)  |  ke fixed at 11.84%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6" t="n"/>
    </row>
    <row r="4">
      <c r="A4" s="78" t="inlineStr">
        <is>
          <t>g₁ \ g₂</t>
        </is>
      </c>
      <c r="B4" s="79" t="n">
        <v>0.04</v>
      </c>
      <c r="C4" s="79" t="n">
        <v>0.05</v>
      </c>
      <c r="D4" s="79" t="n">
        <v>0.06</v>
      </c>
      <c r="E4" s="79" t="n">
        <v>0.07000000000000001</v>
      </c>
    </row>
    <row r="5">
      <c r="A5" s="79" t="n">
        <v>0.1</v>
      </c>
      <c r="B5" s="80">
        <f>$K2*SUMPRODUCT((1.1/(1+$M2))^{1,2,3,4,5})+$K2*1.610510*1.0400/($M2-0.0400)/(1+$M2)^5</f>
        <v/>
      </c>
      <c r="C5" s="80">
        <f>$K2*SUMPRODUCT((1.1/(1+$M2))^{1,2,3,4,5})+$K2*1.610510*1.0500/($M2-0.0500)/(1+$M2)^5</f>
        <v/>
      </c>
      <c r="D5" s="81">
        <f>$K2*SUMPRODUCT((1.1/(1+$M2))^{1,2,3,4,5})+$K2*1.610510*1.0600/($M2-0.0600)/(1+$M2)^5</f>
        <v/>
      </c>
      <c r="E5" s="80">
        <f>$K2*SUMPRODUCT((1.1/(1+$M2))^{1,2,3,4,5})+$K2*1.610510*1.0700/($M2-0.0700)/(1+$M2)^5</f>
        <v/>
      </c>
    </row>
    <row r="6">
      <c r="A6" s="79" t="n">
        <v>0.12</v>
      </c>
      <c r="B6" s="82">
        <f>$K2*SUMPRODUCT((1.12/(1+$M2))^{1,2,3,4,5})+$K2*1.762342*1.0400/($M2-0.0400)/(1+$M2)^5</f>
        <v/>
      </c>
      <c r="C6" s="82">
        <f>$K2*SUMPRODUCT((1.12/(1+$M2))^{1,2,3,4,5})+$K2*1.762342*1.0500/($M2-0.0500)/(1+$M2)^5</f>
        <v/>
      </c>
      <c r="D6" s="81">
        <f>$K2*SUMPRODUCT((1.12/(1+$M2))^{1,2,3,4,5})+$K2*1.762342*1.0600/($M2-0.0600)/(1+$M2)^5</f>
        <v/>
      </c>
      <c r="E6" s="82">
        <f>$K2*SUMPRODUCT((1.12/(1+$M2))^{1,2,3,4,5})+$K2*1.762342*1.0700/($M2-0.0700)/(1+$M2)^5</f>
        <v/>
      </c>
    </row>
    <row r="7">
      <c r="A7" s="79" t="n">
        <v>0.14</v>
      </c>
      <c r="B7" s="80">
        <f>$K2*SUMPRODUCT((1.1400000000000001/(1+$M2))^{1,2,3,4,5})+$K2*1.925415*1.0400/($M2-0.0400)/(1+$M2)^5</f>
        <v/>
      </c>
      <c r="C7" s="80">
        <f>$K2*SUMPRODUCT((1.1400000000000001/(1+$M2))^{1,2,3,4,5})+$K2*1.925415*1.0500/($M2-0.0500)/(1+$M2)^5</f>
        <v/>
      </c>
      <c r="D7" s="81">
        <f>$K2*SUMPRODUCT((1.1400000000000001/(1+$M2))^{1,2,3,4,5})+$K2*1.925415*1.0600/($M2-0.0600)/(1+$M2)^5</f>
        <v/>
      </c>
      <c r="E7" s="80">
        <f>$K2*SUMPRODUCT((1.1400000000000001/(1+$M2))^{1,2,3,4,5})+$K2*1.925415*1.0700/($M2-0.0700)/(1+$M2)^5</f>
        <v/>
      </c>
    </row>
    <row r="8">
      <c r="A8" s="79" t="n">
        <v>0.15</v>
      </c>
      <c r="B8" s="82">
        <f>$K2*SUMPRODUCT((1.15/(1+$M2))^{1,2,3,4,5})+$K2*2.011357*1.0400/($M2-0.0400)/(1+$M2)^5</f>
        <v/>
      </c>
      <c r="C8" s="82">
        <f>$K2*SUMPRODUCT((1.15/(1+$M2))^{1,2,3,4,5})+$K2*2.011357*1.0500/($M2-0.0500)/(1+$M2)^5</f>
        <v/>
      </c>
      <c r="D8" s="81">
        <f>$K2*SUMPRODUCT((1.15/(1+$M2))^{1,2,3,4,5})+$K2*2.011357*1.0600/($M2-0.0600)/(1+$M2)^5</f>
        <v/>
      </c>
      <c r="E8" s="82">
        <f>$K2*SUMPRODUCT((1.15/(1+$M2))^{1,2,3,4,5})+$K2*2.011357*1.0700/($M2-0.0700)/(1+$M2)^5</f>
        <v/>
      </c>
    </row>
    <row r="9">
      <c r="A9" s="79" t="n">
        <v>0.16</v>
      </c>
      <c r="B9" s="80">
        <f>$K2*SUMPRODUCT((1.16/(1+$M2))^{1,2,3,4,5})+$K2*2.100342*1.0400/($M2-0.0400)/(1+$M2)^5</f>
        <v/>
      </c>
      <c r="C9" s="80">
        <f>$K2*SUMPRODUCT((1.16/(1+$M2))^{1,2,3,4,5})+$K2*2.100342*1.0500/($M2-0.0500)/(1+$M2)^5</f>
        <v/>
      </c>
      <c r="D9" s="81">
        <f>$K2*SUMPRODUCT((1.16/(1+$M2))^{1,2,3,4,5})+$K2*2.100342*1.0600/($M2-0.0600)/(1+$M2)^5</f>
        <v/>
      </c>
      <c r="E9" s="80">
        <f>$K2*SUMPRODUCT((1.16/(1+$M2))^{1,2,3,4,5})+$K2*2.100342*1.0700/($M2-0.0700)/(1+$M2)^5</f>
        <v/>
      </c>
    </row>
    <row r="10">
      <c r="A10" s="79" t="n">
        <v>0.17</v>
      </c>
      <c r="B10" s="83">
        <f>$K2*SUMPRODUCT((1.17/(1+$M2))^{1,2,3,4,5})+$K2*2.192448*1.0400/($M2-0.0400)/(1+$M2)^5</f>
        <v/>
      </c>
      <c r="C10" s="83">
        <f>$K2*SUMPRODUCT((1.17/(1+$M2))^{1,2,3,4,5})+$K2*2.192448*1.0500/($M2-0.0500)/(1+$M2)^5</f>
        <v/>
      </c>
      <c r="D10" s="64">
        <f>$K2*SUMPRODUCT((1.17/(1+$M2))^{1,2,3,4,5})+$K2*2.192448*1.0600/($M2-0.0600)/(1+$M2)^5</f>
        <v/>
      </c>
      <c r="E10" s="83">
        <f>$K2*SUMPRODUCT((1.17/(1+$M2))^{1,2,3,4,5})+$K2*2.192448*1.0700/($M2-0.0700)/(1+$M2)^5</f>
        <v/>
      </c>
    </row>
    <row r="11">
      <c r="A11" s="79" t="n">
        <v>0.18</v>
      </c>
      <c r="B11" s="80">
        <f>$K2*SUMPRODUCT((1.18/(1+$M2))^{1,2,3,4,5})+$K2*2.287758*1.0400/($M2-0.0400)/(1+$M2)^5</f>
        <v/>
      </c>
      <c r="C11" s="80">
        <f>$K2*SUMPRODUCT((1.18/(1+$M2))^{1,2,3,4,5})+$K2*2.287758*1.0500/($M2-0.0500)/(1+$M2)^5</f>
        <v/>
      </c>
      <c r="D11" s="81">
        <f>$K2*SUMPRODUCT((1.18/(1+$M2))^{1,2,3,4,5})+$K2*2.287758*1.0600/($M2-0.0600)/(1+$M2)^5</f>
        <v/>
      </c>
      <c r="E11" s="80">
        <f>$K2*SUMPRODUCT((1.18/(1+$M2))^{1,2,3,4,5})+$K2*2.287758*1.0700/($M2-0.0700)/(1+$M2)^5</f>
        <v/>
      </c>
    </row>
    <row r="12">
      <c r="A12" s="79" t="n">
        <v>0.19</v>
      </c>
      <c r="B12" s="82">
        <f>$K2*SUMPRODUCT((1.19/(1+$M2))^{1,2,3,4,5})+$K2*2.386354*1.0400/($M2-0.0400)/(1+$M2)^5</f>
        <v/>
      </c>
      <c r="C12" s="82">
        <f>$K2*SUMPRODUCT((1.19/(1+$M2))^{1,2,3,4,5})+$K2*2.386354*1.0500/($M2-0.0500)/(1+$M2)^5</f>
        <v/>
      </c>
      <c r="D12" s="81">
        <f>$K2*SUMPRODUCT((1.19/(1+$M2))^{1,2,3,4,5})+$K2*2.386354*1.0600/($M2-0.0600)/(1+$M2)^5</f>
        <v/>
      </c>
      <c r="E12" s="82">
        <f>$K2*SUMPRODUCT((1.19/(1+$M2))^{1,2,3,4,5})+$K2*2.386354*1.0700/($M2-0.0700)/(1+$M2)^5</f>
        <v/>
      </c>
    </row>
    <row r="13">
      <c r="A13" s="79" t="n">
        <v>0.2</v>
      </c>
      <c r="B13" s="80">
        <f>$K2*SUMPRODUCT((1.2/(1+$M2))^{1,2,3,4,5})+$K2*2.488320*1.0400/($M2-0.0400)/(1+$M2)^5</f>
        <v/>
      </c>
      <c r="C13" s="80">
        <f>$K2*SUMPRODUCT((1.2/(1+$M2))^{1,2,3,4,5})+$K2*2.488320*1.0500/($M2-0.0500)/(1+$M2)^5</f>
        <v/>
      </c>
      <c r="D13" s="81">
        <f>$K2*SUMPRODUCT((1.2/(1+$M2))^{1,2,3,4,5})+$K2*2.488320*1.0600/($M2-0.0600)/(1+$M2)^5</f>
        <v/>
      </c>
      <c r="E13" s="80">
        <f>$K2*SUMPRODUCT((1.2/(1+$M2))^{1,2,3,4,5})+$K2*2.488320*1.0700/($M2-0.0700)/(1+$M2)^5</f>
        <v/>
      </c>
    </row>
    <row r="14">
      <c r="A14" s="79" t="n">
        <v>0.22</v>
      </c>
      <c r="B14" s="82">
        <f>$K2*SUMPRODUCT((1.22/(1+$M2))^{1,2,3,4,5})+$K2*2.702708*1.0400/($M2-0.0400)/(1+$M2)^5</f>
        <v/>
      </c>
      <c r="C14" s="82">
        <f>$K2*SUMPRODUCT((1.22/(1+$M2))^{1,2,3,4,5})+$K2*2.702708*1.0500/($M2-0.0500)/(1+$M2)^5</f>
        <v/>
      </c>
      <c r="D14" s="81">
        <f>$K2*SUMPRODUCT((1.22/(1+$M2))^{1,2,3,4,5})+$K2*2.702708*1.0600/($M2-0.0600)/(1+$M2)^5</f>
        <v/>
      </c>
      <c r="E14" s="82">
        <f>$K2*SUMPRODUCT((1.22/(1+$M2))^{1,2,3,4,5})+$K2*2.702708*1.0700/($M2-0.0700)/(1+$M2)^5</f>
        <v/>
      </c>
    </row>
    <row r="18">
      <c r="A18" s="23" t="inlineStr">
        <is>
          <t>TABLE B – Intrinsic Value varying High-Growth Rate (g₁) and Cost of Equity (ke)  |  g₂ fixed at 6%</t>
        </is>
      </c>
      <c r="B18" s="5" t="n"/>
      <c r="C18" s="5" t="n"/>
      <c r="D18" s="5" t="n"/>
      <c r="E18" s="5" t="n"/>
      <c r="F18" s="5" t="n"/>
      <c r="G18" s="5" t="n"/>
      <c r="H18" s="5" t="n"/>
      <c r="I18" s="5" t="n"/>
      <c r="J18" s="6" t="n"/>
    </row>
    <row r="19">
      <c r="A19" s="78" t="inlineStr">
        <is>
          <t>g₁ \ ke</t>
        </is>
      </c>
      <c r="B19" s="79" t="n">
        <v>0.09</v>
      </c>
      <c r="C19" s="79" t="n">
        <v>0.1</v>
      </c>
      <c r="D19" s="79" t="n">
        <v>0.11</v>
      </c>
      <c r="E19" s="79" t="n">
        <v>0.1184</v>
      </c>
      <c r="F19" s="79" t="n">
        <v>0.12</v>
      </c>
      <c r="G19" s="79" t="n">
        <v>0.13</v>
      </c>
      <c r="H19" s="79" t="n">
        <v>0.14</v>
      </c>
    </row>
    <row r="20">
      <c r="A20" s="79" t="n">
        <v>0.1</v>
      </c>
      <c r="B20" s="80">
        <f>$K2*SUMPRODUCT((1.1000/1.0900)^{1,2,3,4,5})+$K2*1.610510*1.0600/(0.0900-0.0600)/(1+0.0900)^5</f>
        <v/>
      </c>
      <c r="C20" s="80">
        <f>$K2*SUMPRODUCT((1.1000/1.1000)^{1,2,3,4,5})+$K2*1.610510*1.0600/(0.1000-0.0600)/(1+0.1000)^5</f>
        <v/>
      </c>
      <c r="D20" s="80">
        <f>$K2*SUMPRODUCT((1.1000/1.1100)^{1,2,3,4,5})+$K2*1.610510*1.0600/(0.1100-0.0600)/(1+0.1100)^5</f>
        <v/>
      </c>
      <c r="E20" s="81">
        <f>$K2*SUMPRODUCT((1.1000/1.1184)^{1,2,3,4,5})+$K2*1.610510*1.0600/(0.1184-0.0600)/(1+0.1184)^5</f>
        <v/>
      </c>
      <c r="F20" s="80">
        <f>$K2*SUMPRODUCT((1.1000/1.1200)^{1,2,3,4,5})+$K2*1.610510*1.0600/(0.1200-0.0600)/(1+0.1200)^5</f>
        <v/>
      </c>
      <c r="G20" s="80">
        <f>$K2*SUMPRODUCT((1.1000/1.1300)^{1,2,3,4,5})+$K2*1.610510*1.0600/(0.1300-0.0600)/(1+0.1300)^5</f>
        <v/>
      </c>
      <c r="H20" s="80">
        <f>$K2*SUMPRODUCT((1.1000/1.1400)^{1,2,3,4,5})+$K2*1.610510*1.0600/(0.1400-0.0600)/(1+0.1400)^5</f>
        <v/>
      </c>
    </row>
    <row r="21">
      <c r="A21" s="79" t="n">
        <v>0.12</v>
      </c>
      <c r="B21" s="82">
        <f>$K2*SUMPRODUCT((1.1200/1.0900)^{1,2,3,4,5})+$K2*1.762342*1.0600/(0.0900-0.0600)/(1+0.0900)^5</f>
        <v/>
      </c>
      <c r="C21" s="82">
        <f>$K2*SUMPRODUCT((1.1200/1.1000)^{1,2,3,4,5})+$K2*1.762342*1.0600/(0.1000-0.0600)/(1+0.1000)^5</f>
        <v/>
      </c>
      <c r="D21" s="82">
        <f>$K2*SUMPRODUCT((1.1200/1.1100)^{1,2,3,4,5})+$K2*1.762342*1.0600/(0.1100-0.0600)/(1+0.1100)^5</f>
        <v/>
      </c>
      <c r="E21" s="81">
        <f>$K2*SUMPRODUCT((1.1200/1.1184)^{1,2,3,4,5})+$K2*1.762342*1.0600/(0.1184-0.0600)/(1+0.1184)^5</f>
        <v/>
      </c>
      <c r="F21" s="82">
        <f>$K2*SUMPRODUCT((1.1200/1.1200)^{1,2,3,4,5})+$K2*1.762342*1.0600/(0.1200-0.0600)/(1+0.1200)^5</f>
        <v/>
      </c>
      <c r="G21" s="82">
        <f>$K2*SUMPRODUCT((1.1200/1.1300)^{1,2,3,4,5})+$K2*1.762342*1.0600/(0.1300-0.0600)/(1+0.1300)^5</f>
        <v/>
      </c>
      <c r="H21" s="82">
        <f>$K2*SUMPRODUCT((1.1200/1.1400)^{1,2,3,4,5})+$K2*1.762342*1.0600/(0.1400-0.0600)/(1+0.1400)^5</f>
        <v/>
      </c>
    </row>
    <row r="22">
      <c r="A22" s="79" t="n">
        <v>0.14</v>
      </c>
      <c r="B22" s="80">
        <f>$K2*SUMPRODUCT((1.1400/1.0900)^{1,2,3,4,5})+$K2*1.925415*1.0600/(0.0900-0.0600)/(1+0.0900)^5</f>
        <v/>
      </c>
      <c r="C22" s="80">
        <f>$K2*SUMPRODUCT((1.1400/1.1000)^{1,2,3,4,5})+$K2*1.925415*1.0600/(0.1000-0.0600)/(1+0.1000)^5</f>
        <v/>
      </c>
      <c r="D22" s="80">
        <f>$K2*SUMPRODUCT((1.1400/1.1100)^{1,2,3,4,5})+$K2*1.925415*1.0600/(0.1100-0.0600)/(1+0.1100)^5</f>
        <v/>
      </c>
      <c r="E22" s="81">
        <f>$K2*SUMPRODUCT((1.1400/1.1184)^{1,2,3,4,5})+$K2*1.925415*1.0600/(0.1184-0.0600)/(1+0.1184)^5</f>
        <v/>
      </c>
      <c r="F22" s="80">
        <f>$K2*SUMPRODUCT((1.1400/1.1200)^{1,2,3,4,5})+$K2*1.925415*1.0600/(0.1200-0.0600)/(1+0.1200)^5</f>
        <v/>
      </c>
      <c r="G22" s="80">
        <f>$K2*SUMPRODUCT((1.1400/1.1300)^{1,2,3,4,5})+$K2*1.925415*1.0600/(0.1300-0.0600)/(1+0.1300)^5</f>
        <v/>
      </c>
      <c r="H22" s="80">
        <f>$K2*SUMPRODUCT((1.1400/1.1400)^{1,2,3,4,5})+$K2*1.925415*1.0600/(0.1400-0.0600)/(1+0.1400)^5</f>
        <v/>
      </c>
    </row>
    <row r="23">
      <c r="A23" s="79" t="n">
        <v>0.15</v>
      </c>
      <c r="B23" s="82">
        <f>$K2*SUMPRODUCT((1.1500/1.0900)^{1,2,3,4,5})+$K2*2.011357*1.0600/(0.0900-0.0600)/(1+0.0900)^5</f>
        <v/>
      </c>
      <c r="C23" s="82">
        <f>$K2*SUMPRODUCT((1.1500/1.1000)^{1,2,3,4,5})+$K2*2.011357*1.0600/(0.1000-0.0600)/(1+0.1000)^5</f>
        <v/>
      </c>
      <c r="D23" s="82">
        <f>$K2*SUMPRODUCT((1.1500/1.1100)^{1,2,3,4,5})+$K2*2.011357*1.0600/(0.1100-0.0600)/(1+0.1100)^5</f>
        <v/>
      </c>
      <c r="E23" s="81">
        <f>$K2*SUMPRODUCT((1.1500/1.1184)^{1,2,3,4,5})+$K2*2.011357*1.0600/(0.1184-0.0600)/(1+0.1184)^5</f>
        <v/>
      </c>
      <c r="F23" s="82">
        <f>$K2*SUMPRODUCT((1.1500/1.1200)^{1,2,3,4,5})+$K2*2.011357*1.0600/(0.1200-0.0600)/(1+0.1200)^5</f>
        <v/>
      </c>
      <c r="G23" s="82">
        <f>$K2*SUMPRODUCT((1.1500/1.1300)^{1,2,3,4,5})+$K2*2.011357*1.0600/(0.1300-0.0600)/(1+0.1300)^5</f>
        <v/>
      </c>
      <c r="H23" s="82">
        <f>$K2*SUMPRODUCT((1.1500/1.1400)^{1,2,3,4,5})+$K2*2.011357*1.0600/(0.1400-0.0600)/(1+0.1400)^5</f>
        <v/>
      </c>
    </row>
    <row r="24">
      <c r="A24" s="79" t="n">
        <v>0.16</v>
      </c>
      <c r="B24" s="80">
        <f>$K2*SUMPRODUCT((1.1600/1.0900)^{1,2,3,4,5})+$K2*2.100342*1.0600/(0.0900-0.0600)/(1+0.0900)^5</f>
        <v/>
      </c>
      <c r="C24" s="80">
        <f>$K2*SUMPRODUCT((1.1600/1.1000)^{1,2,3,4,5})+$K2*2.100342*1.0600/(0.1000-0.0600)/(1+0.1000)^5</f>
        <v/>
      </c>
      <c r="D24" s="80">
        <f>$K2*SUMPRODUCT((1.1600/1.1100)^{1,2,3,4,5})+$K2*2.100342*1.0600/(0.1100-0.0600)/(1+0.1100)^5</f>
        <v/>
      </c>
      <c r="E24" s="81">
        <f>$K2*SUMPRODUCT((1.1600/1.1184)^{1,2,3,4,5})+$K2*2.100342*1.0600/(0.1184-0.0600)/(1+0.1184)^5</f>
        <v/>
      </c>
      <c r="F24" s="80">
        <f>$K2*SUMPRODUCT((1.1600/1.1200)^{1,2,3,4,5})+$K2*2.100342*1.0600/(0.1200-0.0600)/(1+0.1200)^5</f>
        <v/>
      </c>
      <c r="G24" s="80">
        <f>$K2*SUMPRODUCT((1.1600/1.1300)^{1,2,3,4,5})+$K2*2.100342*1.0600/(0.1300-0.0600)/(1+0.1300)^5</f>
        <v/>
      </c>
      <c r="H24" s="80">
        <f>$K2*SUMPRODUCT((1.1600/1.1400)^{1,2,3,4,5})+$K2*2.100342*1.0600/(0.1400-0.0600)/(1+0.1400)^5</f>
        <v/>
      </c>
    </row>
    <row r="25">
      <c r="A25" s="79" t="n">
        <v>0.17</v>
      </c>
      <c r="B25" s="83">
        <f>$K2*SUMPRODUCT((1.1700/1.0900)^{1,2,3,4,5})+$K2*2.192448*1.0600/(0.0900-0.0600)/(1+0.0900)^5</f>
        <v/>
      </c>
      <c r="C25" s="83">
        <f>$K2*SUMPRODUCT((1.1700/1.1000)^{1,2,3,4,5})+$K2*2.192448*1.0600/(0.1000-0.0600)/(1+0.1000)^5</f>
        <v/>
      </c>
      <c r="D25" s="83">
        <f>$K2*SUMPRODUCT((1.1700/1.1100)^{1,2,3,4,5})+$K2*2.192448*1.0600/(0.1100-0.0600)/(1+0.1100)^5</f>
        <v/>
      </c>
      <c r="E25" s="64">
        <f>$K2*SUMPRODUCT((1.1700/1.1184)^{1,2,3,4,5})+$K2*2.192448*1.0600/(0.1184-0.0600)/(1+0.1184)^5</f>
        <v/>
      </c>
      <c r="F25" s="83">
        <f>$K2*SUMPRODUCT((1.1700/1.1200)^{1,2,3,4,5})+$K2*2.192448*1.0600/(0.1200-0.0600)/(1+0.1200)^5</f>
        <v/>
      </c>
      <c r="G25" s="83">
        <f>$K2*SUMPRODUCT((1.1700/1.1300)^{1,2,3,4,5})+$K2*2.192448*1.0600/(0.1300-0.0600)/(1+0.1300)^5</f>
        <v/>
      </c>
      <c r="H25" s="83">
        <f>$K2*SUMPRODUCT((1.1700/1.1400)^{1,2,3,4,5})+$K2*2.192448*1.0600/(0.1400-0.0600)/(1+0.1400)^5</f>
        <v/>
      </c>
    </row>
    <row r="26">
      <c r="A26" s="79" t="n">
        <v>0.18</v>
      </c>
      <c r="B26" s="80">
        <f>$K2*SUMPRODUCT((1.1800/1.0900)^{1,2,3,4,5})+$K2*2.287758*1.0600/(0.0900-0.0600)/(1+0.0900)^5</f>
        <v/>
      </c>
      <c r="C26" s="80">
        <f>$K2*SUMPRODUCT((1.1800/1.1000)^{1,2,3,4,5})+$K2*2.287758*1.0600/(0.1000-0.0600)/(1+0.1000)^5</f>
        <v/>
      </c>
      <c r="D26" s="80">
        <f>$K2*SUMPRODUCT((1.1800/1.1100)^{1,2,3,4,5})+$K2*2.287758*1.0600/(0.1100-0.0600)/(1+0.1100)^5</f>
        <v/>
      </c>
      <c r="E26" s="81">
        <f>$K2*SUMPRODUCT((1.1800/1.1184)^{1,2,3,4,5})+$K2*2.287758*1.0600/(0.1184-0.0600)/(1+0.1184)^5</f>
        <v/>
      </c>
      <c r="F26" s="80">
        <f>$K2*SUMPRODUCT((1.1800/1.1200)^{1,2,3,4,5})+$K2*2.287758*1.0600/(0.1200-0.0600)/(1+0.1200)^5</f>
        <v/>
      </c>
      <c r="G26" s="80">
        <f>$K2*SUMPRODUCT((1.1800/1.1300)^{1,2,3,4,5})+$K2*2.287758*1.0600/(0.1300-0.0600)/(1+0.1300)^5</f>
        <v/>
      </c>
      <c r="H26" s="80">
        <f>$K2*SUMPRODUCT((1.1800/1.1400)^{1,2,3,4,5})+$K2*2.287758*1.0600/(0.1400-0.0600)/(1+0.1400)^5</f>
        <v/>
      </c>
    </row>
    <row r="27">
      <c r="A27" s="79" t="n">
        <v>0.19</v>
      </c>
      <c r="B27" s="82">
        <f>$K2*SUMPRODUCT((1.1900/1.0900)^{1,2,3,4,5})+$K2*2.386354*1.0600/(0.0900-0.0600)/(1+0.0900)^5</f>
        <v/>
      </c>
      <c r="C27" s="82">
        <f>$K2*SUMPRODUCT((1.1900/1.1000)^{1,2,3,4,5})+$K2*2.386354*1.0600/(0.1000-0.0600)/(1+0.1000)^5</f>
        <v/>
      </c>
      <c r="D27" s="82">
        <f>$K2*SUMPRODUCT((1.1900/1.1100)^{1,2,3,4,5})+$K2*2.386354*1.0600/(0.1100-0.0600)/(1+0.1100)^5</f>
        <v/>
      </c>
      <c r="E27" s="81">
        <f>$K2*SUMPRODUCT((1.1900/1.1184)^{1,2,3,4,5})+$K2*2.386354*1.0600/(0.1184-0.0600)/(1+0.1184)^5</f>
        <v/>
      </c>
      <c r="F27" s="82">
        <f>$K2*SUMPRODUCT((1.1900/1.1200)^{1,2,3,4,5})+$K2*2.386354*1.0600/(0.1200-0.0600)/(1+0.1200)^5</f>
        <v/>
      </c>
      <c r="G27" s="82">
        <f>$K2*SUMPRODUCT((1.1900/1.1300)^{1,2,3,4,5})+$K2*2.386354*1.0600/(0.1300-0.0600)/(1+0.1300)^5</f>
        <v/>
      </c>
      <c r="H27" s="82">
        <f>$K2*SUMPRODUCT((1.1900/1.1400)^{1,2,3,4,5})+$K2*2.386354*1.0600/(0.1400-0.0600)/(1+0.1400)^5</f>
        <v/>
      </c>
    </row>
    <row r="28">
      <c r="A28" s="79" t="n">
        <v>0.2</v>
      </c>
      <c r="B28" s="80">
        <f>$K2*SUMPRODUCT((1.2000/1.0900)^{1,2,3,4,5})+$K2*2.488320*1.0600/(0.0900-0.0600)/(1+0.0900)^5</f>
        <v/>
      </c>
      <c r="C28" s="80">
        <f>$K2*SUMPRODUCT((1.2000/1.1000)^{1,2,3,4,5})+$K2*2.488320*1.0600/(0.1000-0.0600)/(1+0.1000)^5</f>
        <v/>
      </c>
      <c r="D28" s="80">
        <f>$K2*SUMPRODUCT((1.2000/1.1100)^{1,2,3,4,5})+$K2*2.488320*1.0600/(0.1100-0.0600)/(1+0.1100)^5</f>
        <v/>
      </c>
      <c r="E28" s="81">
        <f>$K2*SUMPRODUCT((1.2000/1.1184)^{1,2,3,4,5})+$K2*2.488320*1.0600/(0.1184-0.0600)/(1+0.1184)^5</f>
        <v/>
      </c>
      <c r="F28" s="80">
        <f>$K2*SUMPRODUCT((1.2000/1.1200)^{1,2,3,4,5})+$K2*2.488320*1.0600/(0.1200-0.0600)/(1+0.1200)^5</f>
        <v/>
      </c>
      <c r="G28" s="80">
        <f>$K2*SUMPRODUCT((1.2000/1.1300)^{1,2,3,4,5})+$K2*2.488320*1.0600/(0.1300-0.0600)/(1+0.1300)^5</f>
        <v/>
      </c>
      <c r="H28" s="80">
        <f>$K2*SUMPRODUCT((1.2000/1.1400)^{1,2,3,4,5})+$K2*2.488320*1.0600/(0.1400-0.0600)/(1+0.1400)^5</f>
        <v/>
      </c>
    </row>
    <row r="29">
      <c r="A29" s="79" t="n">
        <v>0.22</v>
      </c>
      <c r="B29" s="82">
        <f>$K2*SUMPRODUCT((1.2200/1.0900)^{1,2,3,4,5})+$K2*2.702708*1.0600/(0.0900-0.0600)/(1+0.0900)^5</f>
        <v/>
      </c>
      <c r="C29" s="82">
        <f>$K2*SUMPRODUCT((1.2200/1.1000)^{1,2,3,4,5})+$K2*2.702708*1.0600/(0.1000-0.0600)/(1+0.1000)^5</f>
        <v/>
      </c>
      <c r="D29" s="82">
        <f>$K2*SUMPRODUCT((1.2200/1.1100)^{1,2,3,4,5})+$K2*2.702708*1.0600/(0.1100-0.0600)/(1+0.1100)^5</f>
        <v/>
      </c>
      <c r="E29" s="81">
        <f>$K2*SUMPRODUCT((1.2200/1.1184)^{1,2,3,4,5})+$K2*2.702708*1.0600/(0.1184-0.0600)/(1+0.1184)^5</f>
        <v/>
      </c>
      <c r="F29" s="82">
        <f>$K2*SUMPRODUCT((1.2200/1.1200)^{1,2,3,4,5})+$K2*2.702708*1.0600/(0.1200-0.0600)/(1+0.1200)^5</f>
        <v/>
      </c>
      <c r="G29" s="82">
        <f>$K2*SUMPRODUCT((1.2200/1.1300)^{1,2,3,4,5})+$K2*2.702708*1.0600/(0.1300-0.0600)/(1+0.1300)^5</f>
        <v/>
      </c>
      <c r="H29" s="82">
        <f>$K2*SUMPRODUCT((1.2200/1.1400)^{1,2,3,4,5})+$K2*2.702708*1.0600/(0.1400-0.0600)/(1+0.1400)^5</f>
        <v/>
      </c>
    </row>
    <row r="32">
      <c r="A32" s="84" t="inlineStr">
        <is>
          <t>Current Market Price (CMP): ₹3,200  | GOLD = Adopted assumptions → Base Case Intrinsic Value  | Any cell ≥ ₹3,200 implies undervaluation</t>
        </is>
      </c>
    </row>
    <row r="34">
      <c r="A34" s="85" t="inlineStr">
        <is>
          <t>g₁</t>
        </is>
      </c>
      <c r="B34" s="85" t="inlineStr">
        <is>
          <t>IV (ke=11.84%, g₂=6%)</t>
        </is>
      </c>
      <c r="C34" s="85" t="inlineStr">
        <is>
          <t>CMP = ₹3,200</t>
        </is>
      </c>
    </row>
    <row r="35">
      <c r="A35" s="86" t="n">
        <v>0.1</v>
      </c>
      <c r="B35" s="87">
        <f>$K2*SUMPRODUCT((1.1000/1.1184)^{1,2,3,4,5})+$K2*1.610510*1.0600/(0.1184-0.0600)/(1+0.1184)^5</f>
        <v/>
      </c>
      <c r="C35" s="88" t="n">
        <v>3200</v>
      </c>
    </row>
    <row r="36">
      <c r="A36" s="86" t="n">
        <v>0.12</v>
      </c>
      <c r="B36" s="87">
        <f>$K2*SUMPRODUCT((1.1200/1.1184)^{1,2,3,4,5})+$K2*1.762342*1.0600/(0.1184-0.0600)/(1+0.1184)^5</f>
        <v/>
      </c>
      <c r="C36" s="88" t="n">
        <v>3200</v>
      </c>
    </row>
    <row r="37">
      <c r="A37" s="86" t="n">
        <v>0.13</v>
      </c>
      <c r="B37" s="87">
        <f>$K2*SUMPRODUCT((1.1300/1.1184)^{1,2,3,4,5})+$K2*1.842435*1.0600/(0.1184-0.0600)/(1+0.1184)^5</f>
        <v/>
      </c>
      <c r="C37" s="88" t="n">
        <v>3200</v>
      </c>
    </row>
    <row r="38">
      <c r="A38" s="86" t="n">
        <v>0.14</v>
      </c>
      <c r="B38" s="87">
        <f>$K2*SUMPRODUCT((1.1400/1.1184)^{1,2,3,4,5})+$K2*1.925415*1.0600/(0.1184-0.0600)/(1+0.1184)^5</f>
        <v/>
      </c>
      <c r="C38" s="88" t="n">
        <v>3200</v>
      </c>
    </row>
    <row r="39">
      <c r="A39" s="86" t="n">
        <v>0.15</v>
      </c>
      <c r="B39" s="87">
        <f>$K2*SUMPRODUCT((1.1500/1.1184)^{1,2,3,4,5})+$K2*2.011357*1.0600/(0.1184-0.0600)/(1+0.1184)^5</f>
        <v/>
      </c>
      <c r="C39" s="88" t="n">
        <v>3200</v>
      </c>
    </row>
    <row r="40">
      <c r="A40" s="86" t="n">
        <v>0.16</v>
      </c>
      <c r="B40" s="87">
        <f>$K2*SUMPRODUCT((1.1600/1.1184)^{1,2,3,4,5})+$K2*2.100342*1.0600/(0.1184-0.0600)/(1+0.1184)^5</f>
        <v/>
      </c>
      <c r="C40" s="88" t="n">
        <v>3200</v>
      </c>
    </row>
    <row r="41">
      <c r="A41" s="86" t="n">
        <v>0.17</v>
      </c>
      <c r="B41" s="87">
        <f>$K2*SUMPRODUCT((1.1700/1.1184)^{1,2,3,4,5})+$K2*2.192448*1.0600/(0.1184-0.0600)/(1+0.1184)^5</f>
        <v/>
      </c>
      <c r="C41" s="88" t="n">
        <v>3200</v>
      </c>
    </row>
    <row r="42">
      <c r="A42" s="86" t="n">
        <v>0.18</v>
      </c>
      <c r="B42" s="87">
        <f>$K2*SUMPRODUCT((1.1800/1.1184)^{1,2,3,4,5})+$K2*2.287758*1.0600/(0.1184-0.0600)/(1+0.1184)^5</f>
        <v/>
      </c>
      <c r="C42" s="88" t="n">
        <v>3200</v>
      </c>
    </row>
    <row r="43">
      <c r="A43" s="86" t="n">
        <v>0.19</v>
      </c>
      <c r="B43" s="87">
        <f>$K2*SUMPRODUCT((1.1900/1.1184)^{1,2,3,4,5})+$K2*2.386354*1.0600/(0.1184-0.0600)/(1+0.1184)^5</f>
        <v/>
      </c>
      <c r="C43" s="88" t="n">
        <v>3200</v>
      </c>
    </row>
    <row r="44">
      <c r="A44" s="86" t="n">
        <v>0.2</v>
      </c>
      <c r="B44" s="87">
        <f>$K2*SUMPRODUCT((1.2000/1.1184)^{1,2,3,4,5})+$K2*2.488320*1.0600/(0.1184-0.0600)/(1+0.1184)^5</f>
        <v/>
      </c>
      <c r="C44" s="88" t="n">
        <v>3200</v>
      </c>
    </row>
    <row r="45">
      <c r="A45" s="86" t="n">
        <v>0.22</v>
      </c>
      <c r="B45" s="87">
        <f>$K2*SUMPRODUCT((1.2200/1.1184)^{1,2,3,4,5})+$K2*2.702708*1.0600/(0.1184-0.0600)/(1+0.1184)^5</f>
        <v/>
      </c>
      <c r="C45" s="88" t="n">
        <v>3200</v>
      </c>
    </row>
  </sheetData>
  <mergeCells count="4">
    <mergeCell ref="A18:J18"/>
    <mergeCell ref="A32:J32"/>
    <mergeCell ref="A1:L1"/>
    <mergeCell ref="A3:J3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2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1" t="inlineStr">
        <is>
          <t>INVESTMENT ASSESSMENT &amp; CRITICAL REFLECTION – TITAN COMPANY LTD</t>
        </is>
      </c>
      <c r="B1" s="5" t="n"/>
      <c r="C1" s="5" t="n"/>
      <c r="D1" s="5" t="n"/>
      <c r="E1" s="5" t="n"/>
      <c r="F1" s="5" t="n"/>
      <c r="G1" s="6" t="n"/>
    </row>
    <row r="3">
      <c r="A3" s="23" t="inlineStr">
        <is>
          <t>VALUATION COMPARISON DASHBOARD</t>
        </is>
      </c>
      <c r="B3" s="5" t="n"/>
      <c r="C3" s="5" t="n"/>
      <c r="D3" s="5" t="n"/>
      <c r="E3" s="5" t="n"/>
      <c r="F3" s="5" t="n"/>
      <c r="G3" s="6" t="n"/>
    </row>
    <row r="4" ht="22" customHeight="1">
      <c r="A4" s="89" t="inlineStr">
        <is>
          <t>Intrinsic Value (FCFE Model, Base Case)</t>
        </is>
      </c>
      <c r="E4" s="90">
        <f>FCFE_Valuation!D48</f>
        <v/>
      </c>
      <c r="F4" s="5" t="n"/>
      <c r="G4" s="6" t="n"/>
    </row>
    <row r="5" ht="22" customHeight="1">
      <c r="A5" s="89" t="inlineStr">
        <is>
          <t>Intrinsic Value – Bull Case  (g₁=20%, g₂=7%)</t>
        </is>
      </c>
      <c r="E5" s="90">
        <f>FCFE_Valuation!E23*1.200000/1.118400+FCFE_Valuation!E23*1.440000/1.250819+FCFE_Valuation!E23*1.728000/1.398915+FCFE_Valuation!E23*2.073600/1.564547+FCFE_Valuation!E23*2.488320/1.749789+FCFE_Valuation!E23*2.488320*1.0700/(0.1184-0.0700)/1.749789</f>
        <v/>
      </c>
      <c r="F5" s="5" t="n"/>
      <c r="G5" s="6" t="n"/>
    </row>
    <row r="6" ht="22" customHeight="1">
      <c r="A6" s="91" t="inlineStr">
        <is>
          <t>Intrinsic Value – Bear Case  (g₁=12%, g₂=5%)</t>
        </is>
      </c>
      <c r="E6" s="92">
        <f>FCFE_Valuation!E23*1.120000/1.118400+FCFE_Valuation!E23*1.254400/1.250819+FCFE_Valuation!E23*1.404928/1.398915+FCFE_Valuation!E23*1.573519/1.564547+FCFE_Valuation!E23*1.762342/1.749789+FCFE_Valuation!E23*1.762342*1.0500/(0.1184-0.0500)/1.749789</f>
        <v/>
      </c>
      <c r="F6" s="5" t="n"/>
      <c r="G6" s="6" t="n"/>
    </row>
    <row r="7" ht="22" customHeight="1">
      <c r="A7" s="93" t="inlineStr">
        <is>
          <t>Current Market Price (CMP)</t>
        </is>
      </c>
      <c r="E7" s="94">
        <f>FCFE_Valuation!D49</f>
        <v/>
      </c>
      <c r="F7" s="5" t="n"/>
      <c r="G7" s="6" t="n"/>
    </row>
    <row r="8" ht="22" customHeight="1">
      <c r="A8" s="15" t="inlineStr">
        <is>
          <t>Implied P/E (Base Case)</t>
        </is>
      </c>
      <c r="E8" s="95">
        <f>FCFE_Valuation!D48/Financial_Data!G4</f>
        <v/>
      </c>
      <c r="F8" s="5" t="n"/>
      <c r="G8" s="6" t="n"/>
    </row>
    <row r="9" ht="22" customHeight="1">
      <c r="A9" s="15" t="inlineStr">
        <is>
          <t>Actual P/E</t>
        </is>
      </c>
      <c r="E9" s="96">
        <f>FCFE_Valuation!D49/Financial_Data!G4</f>
        <v/>
      </c>
      <c r="F9" s="5" t="n"/>
      <c r="G9" s="6" t="n"/>
    </row>
    <row r="10" ht="22" customHeight="1">
      <c r="A10" s="91" t="inlineStr">
        <is>
          <t>Premium over Intrinsic Value</t>
        </is>
      </c>
      <c r="E10" s="97">
        <f>(FCFE_Valuation!D49-FCFE_Valuation!D48)/FCFE_Valuation!D48</f>
        <v/>
      </c>
      <c r="F10" s="5" t="n"/>
      <c r="G10" s="6" t="n"/>
    </row>
    <row r="11" ht="22" customHeight="1">
      <c r="A11" s="93" t="inlineStr">
        <is>
          <t>Assessment</t>
        </is>
      </c>
      <c r="E11" s="98" t="inlineStr">
        <is>
          <t>OVERVALUED by Model</t>
        </is>
      </c>
      <c r="F11" s="5" t="n"/>
      <c r="G11" s="6" t="n"/>
    </row>
    <row r="14">
      <c r="A14" s="9" t="inlineStr">
        <is>
          <t>INVESTMENT VERDICT</t>
        </is>
      </c>
      <c r="B14" s="5" t="n"/>
      <c r="C14" s="5" t="n"/>
      <c r="D14" s="5" t="n"/>
      <c r="E14" s="5" t="n"/>
      <c r="F14" s="5" t="n"/>
      <c r="G14" s="6" t="n"/>
    </row>
    <row r="15" ht="150" customHeight="1">
      <c r="A15" s="10" t="inlineStr">
        <is>
          <t>Based on the two-stage FCFE model, Titan's intrinsic value is approximately ₹479 per share (Base Case), ₹723 per share (Bull Case), and ₹268 per share (Bear Case). The current market price of ₹3,200 implies a significant premium of ~568% over the base-case intrinsic value. The stock appears OVERVALUED by the FCFE model.
HOWEVER, this does not necessarily imply a 'SELL' signal. The premium reflects the market's willingness to pay for Titan's intangible assets — primarily the TANISHQ brand equity, CaratLane digital platform, distribution moat, and management quality. These are not captured by FCFE.
A more holistic view: the Earnings Multiplier (P/E) of Titan (~81×) versus the Indian consumer discretionary sector median (~35-40×) suggests the market is pricing in continued above-average growth. If Titan sustains 17-20% EPS CAGR for the next decade (as suggested by its historical track record), the market price may be justified on a longer-horizon discounted earnings basis.
RECOMMENDATION: HOLD / ACCUMULATE on dips for long-term investors; the FCFE model undervalues brand-heavy consumer companies.</t>
        </is>
      </c>
    </row>
    <row r="16"/>
    <row r="17"/>
    <row r="18"/>
    <row r="19"/>
    <row r="20"/>
    <row r="21"/>
    <row r="22"/>
    <row r="24">
      <c r="A24" s="9" t="inlineStr">
        <is>
          <t>CRITICAL LIMITATIONS OF THE FCFE MODEL &amp; ASSUMPTIONS</t>
        </is>
      </c>
      <c r="B24" s="5" t="n"/>
      <c r="C24" s="5" t="n"/>
      <c r="D24" s="5" t="n"/>
      <c r="E24" s="5" t="n"/>
      <c r="F24" s="5" t="n"/>
      <c r="G24" s="6" t="n"/>
    </row>
    <row r="25" ht="45" customHeight="1">
      <c r="A25" s="65" t="inlineStr">
        <is>
          <t>1. Brand &amp; Intangible Value Ignored</t>
        </is>
      </c>
      <c r="C25" s="99" t="inlineStr">
        <is>
          <t>FCFE only captures cash flow from tangible operations. Titan's Tanishq brand, loyal customer base, and jewelry craftsmanship are not reflected.</t>
        </is>
      </c>
    </row>
    <row r="26" ht="45" customHeight="1">
      <c r="A26" s="65" t="inlineStr">
        <is>
          <t>2. Static Reinvestment Rate</t>
        </is>
      </c>
      <c r="C26" s="100" t="inlineStr">
        <is>
          <t>We assume a constant reinvestment rate. In reality, Titan's capex requirements and working capital intensity vary year to year, especially with gold price fluctuations.</t>
        </is>
      </c>
    </row>
    <row r="27" ht="45" customHeight="1">
      <c r="A27" s="65" t="inlineStr">
        <is>
          <t>3. Two-Stage Simplification</t>
        </is>
      </c>
      <c r="C27" s="99" t="inlineStr">
        <is>
          <t>Growth rarely transitions cleanly from high to stable. A three-stage model (high → transition → stable) would be more realistic but requires additional assumptions.</t>
        </is>
      </c>
    </row>
    <row r="28" ht="45" customHeight="1">
      <c r="A28" s="65" t="inlineStr">
        <is>
          <t>4. Beta Instability</t>
        </is>
      </c>
      <c r="C28" s="100" t="inlineStr">
        <is>
          <t>Beta estimated from 36 monthly observations may not be stable. Different sample periods yield different betas. Sensitivity of ke to beta should be tested.</t>
        </is>
      </c>
    </row>
    <row r="29" ht="45" customHeight="1">
      <c r="A29" s="65" t="inlineStr">
        <is>
          <t>5. Growth Rate Uncertainty</t>
        </is>
      </c>
      <c r="C29" s="99" t="inlineStr">
        <is>
          <t>17% g₁ is optimistic and depends heavily on jewelry market expansion and macroeconomic conditions. Any slowdown in India's GDP or gold demand would compress growth significantly.</t>
        </is>
      </c>
    </row>
    <row r="30" ht="45" customHeight="1">
      <c r="A30" s="65" t="inlineStr">
        <is>
          <t>6. Risk-Free Rate Changes</t>
        </is>
      </c>
      <c r="C30" s="100" t="inlineStr">
        <is>
          <t>The 91-Day T-Bill rate fluctuates with RBI monetary policy. A 100 bps increase in Rf directly raises ke and decreases intrinsic value.</t>
        </is>
      </c>
    </row>
    <row r="31" ht="45" customHeight="1">
      <c r="A31" s="65" t="inlineStr">
        <is>
          <t>7. Terminal Value Dominance</t>
        </is>
      </c>
      <c r="C31" s="99" t="inlineStr">
        <is>
          <t>~81% of intrinsic value comes from the terminal value (PV of TV), making the model extremely sensitive to the terminal growth rate assumption.</t>
        </is>
      </c>
    </row>
    <row r="32" ht="45" customHeight="1">
      <c r="A32" s="65" t="inlineStr">
        <is>
          <t>8. Circular Logic in Debt Ratio</t>
        </is>
      </c>
      <c r="C32" s="100" t="inlineStr">
        <is>
          <t>Assuming a constant debt ratio ignores Titan's strategy of financing jewelry inventory working capital partly through consignment (gold on loan), which complicates the FCFE formula.</t>
        </is>
      </c>
    </row>
  </sheetData>
  <mergeCells count="37">
    <mergeCell ref="A5:D5"/>
    <mergeCell ref="E10:G10"/>
    <mergeCell ref="A14:G14"/>
    <mergeCell ref="A30:B30"/>
    <mergeCell ref="A8:D8"/>
    <mergeCell ref="C30:G30"/>
    <mergeCell ref="A4:D4"/>
    <mergeCell ref="E9:G9"/>
    <mergeCell ref="A10:D10"/>
    <mergeCell ref="A15:G22"/>
    <mergeCell ref="E6:G6"/>
    <mergeCell ref="C26:G26"/>
    <mergeCell ref="C29:G29"/>
    <mergeCell ref="A9:D9"/>
    <mergeCell ref="E11:G11"/>
    <mergeCell ref="A25:B25"/>
    <mergeCell ref="C25:G25"/>
    <mergeCell ref="A24:G24"/>
    <mergeCell ref="C31:G31"/>
    <mergeCell ref="A11:D11"/>
    <mergeCell ref="A27:B27"/>
    <mergeCell ref="E7:G7"/>
    <mergeCell ref="A26:B26"/>
    <mergeCell ref="A1:G1"/>
    <mergeCell ref="A6:D6"/>
    <mergeCell ref="C27:G27"/>
    <mergeCell ref="A7:D7"/>
    <mergeCell ref="A32:B32"/>
    <mergeCell ref="A29:B29"/>
    <mergeCell ref="C32:G32"/>
    <mergeCell ref="A3:G3"/>
    <mergeCell ref="E5:G5"/>
    <mergeCell ref="E8:G8"/>
    <mergeCell ref="A28:B28"/>
    <mergeCell ref="C28:G28"/>
    <mergeCell ref="E4:G4"/>
    <mergeCell ref="A31:B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2026-04-19T13:07:11Z</dcterms:created>
  <dcterms:modified xsi:type="dcterms:W3CDTF">2026-04-19T13:07:11Z</dcterms:modified>
</cp:coreProperties>
</file>