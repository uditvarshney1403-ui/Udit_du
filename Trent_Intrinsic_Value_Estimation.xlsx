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Beta_Est" sheetId="2" state="visible" r:id="rId2"/>
    <sheet name="CAPM" sheetId="3" state="visible" r:id="rId3"/>
    <sheet name="Growth" sheetId="4" state="visible" r:id="rId4"/>
    <sheet name="Valuation" sheetId="5" state="visible" r:id="rId5"/>
    <sheet name="Sensitivity" sheetId="6" state="visible" r:id="rId6"/>
    <sheet name="Financials" sheetId="7" state="visible" r:id="rId7"/>
    <sheet name="Limitations" sheetId="8" state="visible" r:id="rId8"/>
    <sheet name="Instru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x"/>
    <numFmt numFmtId="165" formatCode="yyyy-mm-dd"/>
    <numFmt numFmtId="166" formatCode="DD-MMM-YYYY"/>
    <numFmt numFmtId="167" formatCode="0.000%"/>
    <numFmt numFmtId="168" formatCode=""/>
    <numFmt numFmtId="169" formatCode="0.0000%"/>
    <numFmt numFmtId="170" formatCode="0.0000"/>
    <numFmt numFmtId="171" formatCode="0.0%"/>
    <numFmt numFmtId="172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F3864"/>
      <sz val="11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C55A11"/>
      <sz val="10"/>
    </font>
    <font>
      <name val="Calibri"/>
      <sz val="9"/>
    </font>
    <font>
      <name val="Calibri"/>
      <i val="1"/>
      <color rgb="00595959"/>
      <sz val="9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color rgb="00595959"/>
      <sz val="10"/>
    </font>
    <font>
      <name val="Calibri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70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10" fontId="6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49" fontId="6" fillId="8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166" fontId="9" fillId="8" borderId="1" pivotButton="0" quotePrefix="0" xfId="0"/>
    <xf numFmtId="4" fontId="9" fillId="8" borderId="1" pivotButton="0" quotePrefix="0" xfId="0"/>
    <xf numFmtId="166" fontId="9" fillId="9" borderId="1" pivotButton="0" quotePrefix="0" xfId="0"/>
    <xf numFmtId="4" fontId="9" fillId="9" borderId="1" pivotButton="0" quotePrefix="0" xfId="0"/>
    <xf numFmtId="10" fontId="9" fillId="5" borderId="1" pivotButton="0" quotePrefix="0" xfId="0"/>
    <xf numFmtId="10" fontId="9" fillId="0" borderId="1" pivotButton="0" quotePrefix="0" xfId="0"/>
    <xf numFmtId="10" fontId="9" fillId="8" borderId="1" pivotButton="0" quotePrefix="0" xfId="0"/>
    <xf numFmtId="10" fontId="3" fillId="2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left" vertical="center"/>
    </xf>
    <xf numFmtId="1" fontId="5" fillId="4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left" vertical="center"/>
    </xf>
    <xf numFmtId="49" fontId="5" fillId="5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left" vertical="center"/>
    </xf>
    <xf numFmtId="168" fontId="5" fillId="4" borderId="1" applyAlignment="1" pivotButton="0" quotePrefix="0" xfId="0">
      <alignment horizontal="right" vertical="center"/>
    </xf>
    <xf numFmtId="169" fontId="5" fillId="5" borderId="1" applyAlignment="1" pivotButton="0" quotePrefix="0" xfId="0">
      <alignment horizontal="right" vertical="center"/>
    </xf>
    <xf numFmtId="170" fontId="6" fillId="4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69" fontId="5" fillId="4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left" vertical="center"/>
    </xf>
    <xf numFmtId="168" fontId="5" fillId="5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/>
    </xf>
    <xf numFmtId="0" fontId="0" fillId="4" borderId="1" pivotButton="0" quotePrefix="0" xfId="0"/>
    <xf numFmtId="17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5" fillId="8" borderId="1" applyAlignment="1" pivotButton="0" quotePrefix="0" xfId="0">
      <alignment horizontal="left" vertical="center"/>
    </xf>
    <xf numFmtId="168" fontId="5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5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3" fillId="2" borderId="1" applyAlignment="1" pivotButton="0" quotePrefix="0" xfId="0">
      <alignment horizontal="center" vertical="center"/>
    </xf>
    <xf numFmtId="2" fontId="10" fillId="3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10" fontId="4" fillId="1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4" fontId="5" fillId="8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9" fontId="5" fillId="4" borderId="1" applyAlignment="1" pivotButton="0" quotePrefix="0" xfId="0">
      <alignment horizontal="right" vertical="center"/>
    </xf>
    <xf numFmtId="9" fontId="5" fillId="5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10" fontId="6" fillId="10" borderId="1" applyAlignment="1" pivotButton="0" quotePrefix="0" xfId="0">
      <alignment horizontal="right" vertical="center"/>
    </xf>
    <xf numFmtId="0" fontId="0" fillId="10" borderId="1" pivotButton="0" quotePrefix="0" xfId="0"/>
    <xf numFmtId="4" fontId="6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  <xf numFmtId="2" fontId="5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49" fontId="6" fillId="10" borderId="1" applyAlignment="1" pivotButton="0" quotePrefix="0" xfId="0">
      <alignment horizontal="right" vertical="center"/>
    </xf>
    <xf numFmtId="9" fontId="10" fillId="3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center" vertical="center"/>
    </xf>
    <xf numFmtId="3" fontId="4" fillId="10" borderId="1" applyAlignment="1" pivotButton="0" quotePrefix="0" xfId="0">
      <alignment horizontal="center" vertical="center"/>
    </xf>
    <xf numFmtId="3" fontId="5" fillId="1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10" fontId="10" fillId="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71" fontId="5" fillId="4" borderId="1" applyAlignment="1" pivotButton="0" quotePrefix="0" xfId="0">
      <alignment horizontal="right" vertical="center"/>
    </xf>
    <xf numFmtId="171" fontId="5" fillId="5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72" fontId="5" fillId="5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E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20" customWidth="1" min="4" max="4"/>
    <col width="20" customWidth="1" min="5" max="5"/>
    <col width="4" customWidth="1" min="6" max="6"/>
  </cols>
  <sheetData>
    <row r="1" ht="16" customHeight="1"/>
    <row r="2" ht="16" customHeight="1">
      <c r="B2" s="1" t="inlineStr">
        <is>
          <t>TRENT LIMITED – INTRINSIC VALUE ESTIMATION</t>
        </is>
      </c>
    </row>
    <row r="3" ht="16" customHeight="1"/>
    <row r="4" ht="16" customHeight="1"/>
    <row r="5" ht="16" customHeight="1"/>
    <row r="6" ht="16" customHeight="1">
      <c r="B6" s="2" t="inlineStr">
        <is>
          <t>Equity Valuation using Earnings Multiplier Model | CAPM Cost of Equity | OLS Beta</t>
        </is>
      </c>
    </row>
    <row r="7" ht="16" customHeight="1"/>
    <row r="8" ht="16" customHeight="1">
      <c r="B8" s="3" t="inlineStr">
        <is>
          <t>COMPANY INFORMATION</t>
        </is>
      </c>
      <c r="C8" s="4" t="n"/>
      <c r="D8" s="4" t="n"/>
      <c r="E8" s="5" t="n"/>
    </row>
    <row r="9" ht="16" customHeight="1">
      <c r="B9" s="6" t="inlineStr">
        <is>
          <t>Company Name</t>
        </is>
      </c>
      <c r="C9" s="7" t="inlineStr">
        <is>
          <t>Trent Limited</t>
        </is>
      </c>
    </row>
    <row r="10" ht="16" customHeight="1">
      <c r="B10" s="8" t="inlineStr">
        <is>
          <t>NSE Symbol</t>
        </is>
      </c>
      <c r="C10" s="9" t="inlineStr">
        <is>
          <t>TRENT</t>
        </is>
      </c>
    </row>
    <row r="11" ht="16" customHeight="1">
      <c r="B11" s="6" t="inlineStr">
        <is>
          <t>BSE Code</t>
        </is>
      </c>
      <c r="C11" s="7" t="inlineStr">
        <is>
          <t>500251</t>
        </is>
      </c>
    </row>
    <row r="12" ht="16" customHeight="1">
      <c r="B12" s="8" t="inlineStr">
        <is>
          <t>Sector</t>
        </is>
      </c>
      <c r="C12" s="9" t="inlineStr">
        <is>
          <t>Retail – Fashion &amp; Lifestyle</t>
        </is>
      </c>
    </row>
    <row r="13" ht="16" customHeight="1">
      <c r="B13" s="6" t="inlineStr">
        <is>
          <t>Valuation Date</t>
        </is>
      </c>
      <c r="C13" s="7" t="inlineStr">
        <is>
          <t>April 2026</t>
        </is>
      </c>
    </row>
    <row r="14" ht="16" customHeight="1">
      <c r="B14" s="8" t="inlineStr">
        <is>
          <t>Index Benchmark</t>
        </is>
      </c>
      <c r="C14" s="9" t="inlineStr">
        <is>
          <t>Nifty 50</t>
        </is>
      </c>
    </row>
    <row r="15" ht="16" customHeight="1">
      <c r="B15" s="6" t="inlineStr">
        <is>
          <t>Risk-Free Rate Proxy</t>
        </is>
      </c>
      <c r="C15" s="7" t="inlineStr">
        <is>
          <t>91-Day T-Bill Rate</t>
        </is>
      </c>
    </row>
    <row r="16" ht="16" customHeight="1">
      <c r="B16" s="8" t="inlineStr">
        <is>
          <t>Prepared by</t>
        </is>
      </c>
      <c r="C16" s="9" t="inlineStr">
        <is>
          <t>Financial Analysis Team</t>
        </is>
      </c>
    </row>
    <row r="17" ht="16" customHeight="1"/>
    <row r="18" ht="16" customHeight="1"/>
    <row r="19" ht="16" customHeight="1">
      <c r="B19" s="10" t="inlineStr">
        <is>
          <t>VALUATION SUMMARY</t>
        </is>
      </c>
      <c r="C19" s="4" t="n"/>
      <c r="D19" s="4" t="n"/>
      <c r="E19" s="5" t="n"/>
    </row>
    <row r="20" ht="16" customHeight="1">
      <c r="B20" s="11" t="inlineStr">
        <is>
          <t>Beta (OLS Estimate)</t>
        </is>
      </c>
      <c r="C20" s="12">
        <f>Beta_Est!H33</f>
        <v/>
      </c>
    </row>
    <row r="21" ht="16" customHeight="1">
      <c r="B21" s="13" t="inlineStr">
        <is>
          <t>Risk-Free Rate (91-Day T-Bill)</t>
        </is>
      </c>
      <c r="C21" s="14">
        <f>CAPM!C5</f>
        <v/>
      </c>
    </row>
    <row r="22" ht="16" customHeight="1">
      <c r="B22" s="11" t="inlineStr">
        <is>
          <t>Equity Risk Premium</t>
        </is>
      </c>
      <c r="C22" s="15">
        <f>CAPM!C6</f>
        <v/>
      </c>
    </row>
    <row r="23" ht="16" customHeight="1">
      <c r="B23" s="13" t="inlineStr">
        <is>
          <t>Cost of Equity (CAPM)</t>
        </is>
      </c>
      <c r="C23" s="14">
        <f>CAPM!C9</f>
        <v/>
      </c>
    </row>
    <row r="24" ht="16" customHeight="1">
      <c r="B24" s="11" t="inlineStr">
        <is>
          <t>Adopted EPS Growth Rate</t>
        </is>
      </c>
      <c r="C24" s="15">
        <f>Growth!C28</f>
        <v/>
      </c>
    </row>
    <row r="25" ht="16" customHeight="1">
      <c r="B25" s="13" t="inlineStr">
        <is>
          <t>Base EPS (FY2024)</t>
        </is>
      </c>
      <c r="C25" s="16">
        <f>Valuation!C5</f>
        <v/>
      </c>
    </row>
    <row r="26" ht="16" customHeight="1">
      <c r="B26" s="11" t="inlineStr">
        <is>
          <t>Forward EPS (FY2025E)</t>
        </is>
      </c>
      <c r="C26" s="17">
        <f>Valuation!C6</f>
        <v/>
      </c>
    </row>
    <row r="27" ht="16" customHeight="1">
      <c r="B27" s="13" t="inlineStr">
        <is>
          <t>P/E Multiple Applied</t>
        </is>
      </c>
      <c r="C27" s="18">
        <f>Valuation!C10</f>
        <v/>
      </c>
    </row>
    <row r="28" ht="16" customHeight="1">
      <c r="B28" s="11" t="inlineStr">
        <is>
          <t>Estimated Intrinsic Value / Share (₹)</t>
        </is>
      </c>
      <c r="C28" s="17">
        <f>Valuation!C13</f>
        <v/>
      </c>
    </row>
    <row r="29" ht="16" customHeight="1">
      <c r="B29" s="13" t="inlineStr">
        <is>
          <t>Current Market Price (₹)</t>
        </is>
      </c>
      <c r="C29" s="16">
        <f>Valuation!C15</f>
        <v/>
      </c>
    </row>
    <row r="30" ht="16" customHeight="1">
      <c r="B30" s="11" t="inlineStr">
        <is>
          <t>Margin of Safety / (Premium) %</t>
        </is>
      </c>
      <c r="C30" s="15">
        <f>Valuation!C17</f>
        <v/>
      </c>
    </row>
    <row r="31" ht="16" customHeight="1">
      <c r="B31" s="13" t="inlineStr">
        <is>
          <t>Investment Recommendation</t>
        </is>
      </c>
      <c r="C31" s="19">
        <f>Valuation!C19</f>
        <v/>
      </c>
    </row>
    <row r="32" ht="16" customHeight="1"/>
    <row r="33" ht="16" customHeight="1"/>
    <row r="34" ht="16" customHeight="1">
      <c r="B34" s="3" t="inlineStr">
        <is>
          <t>MODEL JUSTIFICATION</t>
        </is>
      </c>
      <c r="C34" s="4" t="n"/>
      <c r="D34" s="4" t="n"/>
      <c r="E34" s="5" t="n"/>
    </row>
    <row r="35" ht="16" customHeight="1">
      <c r="B35" s="20" t="inlineStr">
        <is>
          <t>Earnings Multiplier (P/E) Model was chosen for Trent Limited for the following reasons:
1. Trent pays minimal dividends (retention ratio ~95%), making DDM unsuitable.
2. Free Cash Flow to Equity (FCFE) requires detailed capex/working-capital forecasts with limited public granularity for a high-growth retailer.
3. The P/E model is widely used for retail/consumer stocks and allows straightforward comparison with sector peers.
4. Trent's earnings have grown at a strong CAGR making forward EPS a reliable anchor.
5. Sensitivity around P/E and growth rate provides a credible valuation range.</t>
        </is>
      </c>
    </row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</sheetData>
  <mergeCells count="26">
    <mergeCell ref="C16:E16"/>
    <mergeCell ref="B35:E40"/>
    <mergeCell ref="C31:E31"/>
    <mergeCell ref="B6:E6"/>
    <mergeCell ref="C22:E22"/>
    <mergeCell ref="B34:E34"/>
    <mergeCell ref="C9:E9"/>
    <mergeCell ref="B2:E5"/>
    <mergeCell ref="C21:E21"/>
    <mergeCell ref="C12:E12"/>
    <mergeCell ref="C11:E11"/>
    <mergeCell ref="C27:E27"/>
    <mergeCell ref="C23:E23"/>
    <mergeCell ref="C28:E28"/>
    <mergeCell ref="C13:E13"/>
    <mergeCell ref="C30:E30"/>
    <mergeCell ref="C15:E15"/>
    <mergeCell ref="C24:E24"/>
    <mergeCell ref="C14:E14"/>
    <mergeCell ref="B8:E8"/>
    <mergeCell ref="C26:E26"/>
    <mergeCell ref="B19:E19"/>
    <mergeCell ref="C29:E29"/>
    <mergeCell ref="C20:E20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1:J75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22" customWidth="1" min="9" max="9"/>
  </cols>
  <sheetData>
    <row r="1">
      <c r="B1" s="21" t="inlineStr">
        <is>
          <t>BETA ESTIMATION – OLS REGRESSION (TRENT vs NIFTY 50)</t>
        </is>
      </c>
      <c r="C1" s="4" t="n"/>
      <c r="D1" s="4" t="n"/>
      <c r="E1" s="4" t="n"/>
      <c r="F1" s="4" t="n"/>
      <c r="G1" s="4" t="n"/>
      <c r="H1" s="4" t="n"/>
      <c r="I1" s="5" t="n"/>
    </row>
    <row r="2">
      <c r="B2" s="22" t="inlineStr">
        <is>
          <t>This sheet presents OLS regression of Trent daily stock returns against Nifty 50 daily returns. Actual daily price data (Jan 2021 – Dec 2023, ~750 observations) should be pasted in columns B &amp; C. The regression coefficients in H–I are computed using Excel's SLOPE / INTERCEPT / RSQ functions.</t>
        </is>
      </c>
    </row>
    <row r="4">
      <c r="B4" s="23" t="inlineStr">
        <is>
          <t>Date</t>
        </is>
      </c>
      <c r="C4" s="23" t="inlineStr">
        <is>
          <t>Trent Close (₹)</t>
        </is>
      </c>
      <c r="D4" s="23" t="inlineStr">
        <is>
          <t>Nifty 50 Close</t>
        </is>
      </c>
      <c r="E4" s="23" t="inlineStr">
        <is>
          <t>Trent Return (Rt)</t>
        </is>
      </c>
      <c r="F4" s="23" t="inlineStr">
        <is>
          <t>Nifty Return (Rm)</t>
        </is>
      </c>
      <c r="G4" s="23" t="inlineStr">
        <is>
          <t>Rt – Avg Rt</t>
        </is>
      </c>
      <c r="H4" s="23" t="inlineStr">
        <is>
          <t>Rm – Avg Rm</t>
        </is>
      </c>
      <c r="I4" s="23" t="inlineStr"/>
      <c r="J4" s="23" t="inlineStr"/>
    </row>
    <row r="5" ht="15" customHeight="1">
      <c r="B5" s="24" t="n">
        <v>44201</v>
      </c>
      <c r="C5" s="25" t="n">
        <v>703.79</v>
      </c>
      <c r="D5" s="25" t="n">
        <v>16924.04</v>
      </c>
    </row>
    <row r="6" ht="15" customHeight="1">
      <c r="B6" s="26" t="n">
        <v>44202</v>
      </c>
      <c r="C6" s="27" t="n">
        <v>720.39</v>
      </c>
      <c r="D6" s="27" t="n">
        <v>16909.13</v>
      </c>
      <c r="E6" s="28">
        <f>(C6-C5)/C5</f>
        <v/>
      </c>
      <c r="F6" s="28">
        <f>(D6-D5)/D5</f>
        <v/>
      </c>
      <c r="G6" s="29">
        <f>E6-$H$27</f>
        <v/>
      </c>
      <c r="H6" s="29">
        <f>F6-$H$28</f>
        <v/>
      </c>
    </row>
    <row r="7" ht="15" customHeight="1">
      <c r="B7" s="24" t="n">
        <v>44203</v>
      </c>
      <c r="C7" s="25" t="n">
        <v>708.46</v>
      </c>
      <c r="D7" s="25" t="n">
        <v>17013.13</v>
      </c>
      <c r="E7" s="30">
        <f>(C7-C6)/C6</f>
        <v/>
      </c>
      <c r="F7" s="30">
        <f>(D7-D6)/D6</f>
        <v/>
      </c>
      <c r="G7" s="29">
        <f>E7-$H$27</f>
        <v/>
      </c>
      <c r="H7" s="29">
        <f>F7-$H$28</f>
        <v/>
      </c>
    </row>
    <row r="8" ht="15" customHeight="1">
      <c r="B8" s="26" t="n">
        <v>44204</v>
      </c>
      <c r="C8" s="27" t="n">
        <v>694.28</v>
      </c>
      <c r="D8" s="27" t="n">
        <v>17317.33</v>
      </c>
      <c r="E8" s="28">
        <f>(C8-C7)/C7</f>
        <v/>
      </c>
      <c r="F8" s="28">
        <f>(D8-D7)/D7</f>
        <v/>
      </c>
      <c r="G8" s="29">
        <f>E8-$H$27</f>
        <v/>
      </c>
      <c r="H8" s="29">
        <f>F8-$H$28</f>
        <v/>
      </c>
    </row>
    <row r="9" ht="15" customHeight="1">
      <c r="B9" s="24" t="n">
        <v>44207</v>
      </c>
      <c r="C9" s="25" t="n">
        <v>690.91</v>
      </c>
      <c r="D9" s="25" t="n">
        <v>17530.74</v>
      </c>
      <c r="E9" s="30">
        <f>(C9-C8)/C8</f>
        <v/>
      </c>
      <c r="F9" s="30">
        <f>(D9-D8)/D8</f>
        <v/>
      </c>
      <c r="G9" s="29">
        <f>E9-$H$27</f>
        <v/>
      </c>
      <c r="H9" s="29">
        <f>F9-$H$28</f>
        <v/>
      </c>
    </row>
    <row r="10" ht="15" customHeight="1">
      <c r="B10" s="26" t="n">
        <v>44208</v>
      </c>
      <c r="C10" s="27" t="n">
        <v>710.3099999999999</v>
      </c>
      <c r="D10" s="27" t="n">
        <v>17881.26</v>
      </c>
      <c r="E10" s="28">
        <f>(C10-C9)/C9</f>
        <v/>
      </c>
      <c r="F10" s="28">
        <f>(D10-D9)/D9</f>
        <v/>
      </c>
      <c r="G10" s="29">
        <f>E10-$H$27</f>
        <v/>
      </c>
      <c r="H10" s="29">
        <f>F10-$H$28</f>
        <v/>
      </c>
    </row>
    <row r="11" ht="15" customHeight="1">
      <c r="B11" s="24" t="n">
        <v>44209</v>
      </c>
      <c r="C11" s="25" t="n">
        <v>740.58</v>
      </c>
      <c r="D11" s="25" t="n">
        <v>17807.03</v>
      </c>
      <c r="E11" s="30">
        <f>(C11-C10)/C10</f>
        <v/>
      </c>
      <c r="F11" s="30">
        <f>(D11-D10)/D10</f>
        <v/>
      </c>
      <c r="G11" s="29">
        <f>E11-$H$27</f>
        <v/>
      </c>
      <c r="H11" s="29">
        <f>F11-$H$28</f>
        <v/>
      </c>
    </row>
    <row r="12" ht="15" customHeight="1">
      <c r="B12" s="26" t="n">
        <v>44210</v>
      </c>
      <c r="C12" s="27" t="n">
        <v>761.0700000000001</v>
      </c>
      <c r="D12" s="27" t="n">
        <v>18077.37</v>
      </c>
      <c r="E12" s="28">
        <f>(C12-C11)/C11</f>
        <v/>
      </c>
      <c r="F12" s="28">
        <f>(D12-D11)/D11</f>
        <v/>
      </c>
      <c r="G12" s="29">
        <f>E12-$H$27</f>
        <v/>
      </c>
      <c r="H12" s="29">
        <f>F12-$H$28</f>
        <v/>
      </c>
    </row>
    <row r="13" ht="15" customHeight="1">
      <c r="B13" s="24" t="n">
        <v>44211</v>
      </c>
      <c r="C13" s="25" t="n">
        <v>766.87</v>
      </c>
      <c r="D13" s="25" t="n">
        <v>17967.66</v>
      </c>
      <c r="E13" s="30">
        <f>(C13-C12)/C12</f>
        <v/>
      </c>
      <c r="F13" s="30">
        <f>(D13-D12)/D12</f>
        <v/>
      </c>
      <c r="G13" s="29">
        <f>E13-$H$27</f>
        <v/>
      </c>
      <c r="H13" s="29">
        <f>F13-$H$28</f>
        <v/>
      </c>
    </row>
    <row r="14" ht="15" customHeight="1">
      <c r="B14" s="26" t="n">
        <v>44214</v>
      </c>
      <c r="C14" s="27" t="n">
        <v>754.67</v>
      </c>
      <c r="D14" s="27" t="n">
        <v>17806.3</v>
      </c>
      <c r="E14" s="28">
        <f>(C14-C13)/C13</f>
        <v/>
      </c>
      <c r="F14" s="28">
        <f>(D14-D13)/D13</f>
        <v/>
      </c>
      <c r="G14" s="29">
        <f>E14-$H$27</f>
        <v/>
      </c>
      <c r="H14" s="29">
        <f>F14-$H$28</f>
        <v/>
      </c>
    </row>
    <row r="15" ht="15" customHeight="1">
      <c r="B15" s="24" t="n">
        <v>44215</v>
      </c>
      <c r="C15" s="25" t="n">
        <v>760.4</v>
      </c>
      <c r="D15" s="25" t="n">
        <v>17765.04</v>
      </c>
      <c r="E15" s="30">
        <f>(C15-C14)/C14</f>
        <v/>
      </c>
      <c r="F15" s="30">
        <f>(D15-D14)/D14</f>
        <v/>
      </c>
      <c r="G15" s="29">
        <f>E15-$H$27</f>
        <v/>
      </c>
      <c r="H15" s="29">
        <f>F15-$H$28</f>
        <v/>
      </c>
    </row>
    <row r="16" ht="15" customHeight="1">
      <c r="B16" s="26" t="n">
        <v>44216</v>
      </c>
      <c r="C16" s="27" t="n">
        <v>770.05</v>
      </c>
      <c r="D16" s="27" t="n">
        <v>17403.92</v>
      </c>
      <c r="E16" s="28">
        <f>(C16-C15)/C15</f>
        <v/>
      </c>
      <c r="F16" s="28">
        <f>(D16-D15)/D15</f>
        <v/>
      </c>
      <c r="G16" s="29">
        <f>E16-$H$27</f>
        <v/>
      </c>
      <c r="H16" s="29">
        <f>F16-$H$28</f>
        <v/>
      </c>
    </row>
    <row r="17" ht="15" customHeight="1">
      <c r="B17" s="24" t="n">
        <v>44217</v>
      </c>
      <c r="C17" s="25" t="n">
        <v>757.92</v>
      </c>
      <c r="D17" s="25" t="n">
        <v>17466.53</v>
      </c>
      <c r="E17" s="30">
        <f>(C17-C16)/C16</f>
        <v/>
      </c>
      <c r="F17" s="30">
        <f>(D17-D16)/D16</f>
        <v/>
      </c>
      <c r="G17" s="29">
        <f>E17-$H$27</f>
        <v/>
      </c>
      <c r="H17" s="29">
        <f>F17-$H$28</f>
        <v/>
      </c>
    </row>
    <row r="18" ht="15" customHeight="1">
      <c r="B18" s="26" t="n">
        <v>44218</v>
      </c>
      <c r="C18" s="27" t="n">
        <v>752.78</v>
      </c>
      <c r="D18" s="27" t="n">
        <v>17639.82</v>
      </c>
      <c r="E18" s="28">
        <f>(C18-C17)/C17</f>
        <v/>
      </c>
      <c r="F18" s="28">
        <f>(D18-D17)/D17</f>
        <v/>
      </c>
      <c r="G18" s="29">
        <f>E18-$H$27</f>
        <v/>
      </c>
      <c r="H18" s="29">
        <f>F18-$H$28</f>
        <v/>
      </c>
    </row>
    <row r="19" ht="15" customHeight="1">
      <c r="B19" s="24" t="n">
        <v>44221</v>
      </c>
      <c r="C19" s="25" t="n">
        <v>759.52</v>
      </c>
      <c r="D19" s="25" t="n">
        <v>17880.46</v>
      </c>
      <c r="E19" s="30">
        <f>(C19-C18)/C18</f>
        <v/>
      </c>
      <c r="F19" s="30">
        <f>(D19-D18)/D18</f>
        <v/>
      </c>
      <c r="G19" s="29">
        <f>E19-$H$27</f>
        <v/>
      </c>
      <c r="H19" s="29">
        <f>F19-$H$28</f>
        <v/>
      </c>
    </row>
    <row r="20" ht="15" customHeight="1">
      <c r="B20" s="26" t="n">
        <v>44222</v>
      </c>
      <c r="C20" s="27" t="n">
        <v>752.96</v>
      </c>
      <c r="D20" s="27" t="n">
        <v>17914.94</v>
      </c>
      <c r="E20" s="28">
        <f>(C20-C19)/C19</f>
        <v/>
      </c>
      <c r="F20" s="28">
        <f>(D20-D19)/D19</f>
        <v/>
      </c>
      <c r="G20" s="29">
        <f>E20-$H$27</f>
        <v/>
      </c>
      <c r="H20" s="29">
        <f>F20-$H$28</f>
        <v/>
      </c>
    </row>
    <row r="21" ht="15" customHeight="1">
      <c r="B21" s="24" t="n">
        <v>44223</v>
      </c>
      <c r="C21" s="25" t="n">
        <v>772.96</v>
      </c>
      <c r="D21" s="25" t="n">
        <v>17884.29</v>
      </c>
      <c r="E21" s="30">
        <f>(C21-C20)/C20</f>
        <v/>
      </c>
      <c r="F21" s="30">
        <f>(D21-D20)/D20</f>
        <v/>
      </c>
      <c r="G21" s="29">
        <f>E21-$H$27</f>
        <v/>
      </c>
      <c r="H21" s="29">
        <f>F21-$H$28</f>
        <v/>
      </c>
    </row>
    <row r="22" ht="15" customHeight="1">
      <c r="B22" s="26" t="n">
        <v>44224</v>
      </c>
      <c r="C22" s="27" t="n">
        <v>748.72</v>
      </c>
      <c r="D22" s="27" t="n">
        <v>18048.31</v>
      </c>
      <c r="E22" s="28">
        <f>(C22-C21)/C21</f>
        <v/>
      </c>
      <c r="F22" s="28">
        <f>(D22-D21)/D21</f>
        <v/>
      </c>
      <c r="G22" s="29">
        <f>E22-$H$27</f>
        <v/>
      </c>
      <c r="H22" s="31" t="inlineStr">
        <is>
          <t>OLS REGRESSION RESULTS</t>
        </is>
      </c>
      <c r="I22" s="5" t="n"/>
    </row>
    <row r="23" ht="15" customHeight="1">
      <c r="B23" s="24" t="n">
        <v>44225</v>
      </c>
      <c r="C23" s="25" t="n">
        <v>733.15</v>
      </c>
      <c r="D23" s="25" t="n">
        <v>18178.85</v>
      </c>
      <c r="E23" s="30">
        <f>(C23-C22)/C22</f>
        <v/>
      </c>
      <c r="F23" s="30">
        <f>(D23-D22)/D22</f>
        <v/>
      </c>
      <c r="G23" s="29">
        <f>E23-$H$27</f>
        <v/>
      </c>
      <c r="H23" s="32" t="inlineStr">
        <is>
          <t>Number of Observations</t>
        </is>
      </c>
      <c r="I23" s="33">
        <f>COUNTA(E6:E755)</f>
        <v/>
      </c>
    </row>
    <row r="24" ht="15" customHeight="1">
      <c r="B24" s="26" t="n">
        <v>44228</v>
      </c>
      <c r="C24" s="27" t="n">
        <v>719.1799999999999</v>
      </c>
      <c r="D24" s="27" t="n">
        <v>17973.61</v>
      </c>
      <c r="E24" s="28">
        <f>(C24-C23)/C23</f>
        <v/>
      </c>
      <c r="F24" s="28">
        <f>(D24-D23)/D23</f>
        <v/>
      </c>
      <c r="G24" s="29">
        <f>E24-$H$27</f>
        <v/>
      </c>
      <c r="H24" s="34" t="inlineStr">
        <is>
          <t>Period</t>
        </is>
      </c>
      <c r="I24" s="35" t="inlineStr">
        <is>
          <t>Jan 2021 – Dec 2023</t>
        </is>
      </c>
    </row>
    <row r="25" ht="15" customHeight="1">
      <c r="B25" s="24" t="n">
        <v>44229</v>
      </c>
      <c r="C25" s="25" t="n">
        <v>697.65</v>
      </c>
      <c r="D25" s="25" t="n">
        <v>18139.93</v>
      </c>
      <c r="E25" s="30">
        <f>(C25-C24)/C24</f>
        <v/>
      </c>
      <c r="F25" s="30">
        <f>(D25-D24)/D24</f>
        <v/>
      </c>
      <c r="G25" s="29">
        <f>E25-$H$27</f>
        <v/>
      </c>
      <c r="H25" s="32" t="inlineStr">
        <is>
          <t>Avg Daily Return – Trent</t>
        </is>
      </c>
      <c r="I25" s="36">
        <f>AVERAGE(E6:E755)</f>
        <v/>
      </c>
    </row>
    <row r="26" ht="15" customHeight="1">
      <c r="B26" s="26" t="n">
        <v>44230</v>
      </c>
      <c r="C26" s="27" t="n">
        <v>698.36</v>
      </c>
      <c r="D26" s="27" t="n">
        <v>17975.28</v>
      </c>
      <c r="E26" s="28">
        <f>(C26-C25)/C25</f>
        <v/>
      </c>
      <c r="F26" s="28">
        <f>(D26-D25)/D25</f>
        <v/>
      </c>
      <c r="G26" s="29">
        <f>E26-$H$27</f>
        <v/>
      </c>
      <c r="H26" s="34" t="inlineStr">
        <is>
          <t>Avg Daily Return – Nifty</t>
        </is>
      </c>
      <c r="I26" s="37">
        <f>AVERAGE(F6:F755)</f>
        <v/>
      </c>
    </row>
    <row r="27" ht="15" customHeight="1">
      <c r="B27" s="24" t="n">
        <v>44231</v>
      </c>
      <c r="C27" s="25" t="n">
        <v>701.83</v>
      </c>
      <c r="D27" s="25" t="n">
        <v>18160.01</v>
      </c>
      <c r="E27" s="30">
        <f>(C27-C26)/C26</f>
        <v/>
      </c>
      <c r="F27" s="30">
        <f>(D27-D26)/D26</f>
        <v/>
      </c>
      <c r="G27" s="29">
        <f>E27-$H$27</f>
        <v/>
      </c>
      <c r="H27" s="38" t="inlineStr"/>
      <c r="I27" s="39" t="inlineStr"/>
    </row>
    <row r="28" ht="15" customHeight="1">
      <c r="B28" s="26" t="n">
        <v>44232</v>
      </c>
      <c r="C28" s="27" t="n">
        <v>715.39</v>
      </c>
      <c r="D28" s="27" t="n">
        <v>18105.43</v>
      </c>
      <c r="E28" s="28">
        <f>(C28-C27)/C27</f>
        <v/>
      </c>
      <c r="F28" s="28">
        <f>(D28-D27)/D27</f>
        <v/>
      </c>
      <c r="G28" s="29">
        <f>E28-$H$27</f>
        <v/>
      </c>
      <c r="H28" s="34" t="inlineStr">
        <is>
          <t>Alpha (Intercept)</t>
        </is>
      </c>
      <c r="I28" s="40">
        <f>INTERCEPT(E6:E755,F6:F755)</f>
        <v/>
      </c>
    </row>
    <row r="29" ht="15" customHeight="1">
      <c r="B29" s="24" t="n">
        <v>44235</v>
      </c>
      <c r="C29" s="25" t="n">
        <v>698.3</v>
      </c>
      <c r="D29" s="25" t="n">
        <v>18209.22</v>
      </c>
      <c r="E29" s="30">
        <f>(C29-C28)/C28</f>
        <v/>
      </c>
      <c r="F29" s="30">
        <f>(D29-D28)/D28</f>
        <v/>
      </c>
      <c r="G29" s="29">
        <f>E29-$H$27</f>
        <v/>
      </c>
      <c r="H29" s="32" t="inlineStr">
        <is>
          <t>Beta (Slope) ← Use this</t>
        </is>
      </c>
      <c r="I29" s="41">
        <f>SLOPE(E6:E755,F6:F755)</f>
        <v/>
      </c>
    </row>
    <row r="30" ht="15" customHeight="1">
      <c r="B30" s="26" t="n">
        <v>44236</v>
      </c>
      <c r="C30" s="27" t="n">
        <v>697.8099999999999</v>
      </c>
      <c r="D30" s="27" t="n">
        <v>18187.86</v>
      </c>
      <c r="E30" s="28">
        <f>(C30-C29)/C29</f>
        <v/>
      </c>
      <c r="F30" s="28">
        <f>(D30-D29)/D29</f>
        <v/>
      </c>
      <c r="G30" s="29">
        <f>E30-$H$27</f>
        <v/>
      </c>
      <c r="H30" s="34" t="inlineStr">
        <is>
          <t>R² (Coefficient of Determ.)</t>
        </is>
      </c>
      <c r="I30" s="42">
        <f>RSQ(E6:E755,F6:F755)</f>
        <v/>
      </c>
    </row>
    <row r="31" ht="15" customHeight="1">
      <c r="B31" s="24" t="n">
        <v>44237</v>
      </c>
      <c r="C31" s="25" t="n">
        <v>701.65</v>
      </c>
      <c r="D31" s="25" t="n">
        <v>18061.48</v>
      </c>
      <c r="E31" s="30">
        <f>(C31-C30)/C30</f>
        <v/>
      </c>
      <c r="F31" s="30">
        <f>(D31-D30)/D30</f>
        <v/>
      </c>
      <c r="G31" s="29">
        <f>E31-$H$27</f>
        <v/>
      </c>
      <c r="H31" s="32" t="inlineStr">
        <is>
          <t>Std Err of Regression</t>
        </is>
      </c>
      <c r="I31" s="43">
        <f>STEYX(E6:E755,F6:F755)</f>
        <v/>
      </c>
    </row>
    <row r="32" ht="15" customHeight="1">
      <c r="B32" s="26" t="n">
        <v>44238</v>
      </c>
      <c r="C32" s="27" t="n">
        <v>699.5700000000001</v>
      </c>
      <c r="D32" s="27" t="n">
        <v>17919.04</v>
      </c>
      <c r="E32" s="28">
        <f>(C32-C31)/C31</f>
        <v/>
      </c>
      <c r="F32" s="28">
        <f>(D32-D31)/D31</f>
        <v/>
      </c>
      <c r="G32" s="29">
        <f>E32-$H$27</f>
        <v/>
      </c>
      <c r="H32" s="44" t="inlineStr"/>
      <c r="I32" s="45" t="inlineStr"/>
    </row>
    <row r="33" ht="15" customHeight="1">
      <c r="B33" s="24" t="n">
        <v>44239</v>
      </c>
      <c r="C33" s="25" t="n">
        <v>691.77</v>
      </c>
      <c r="D33" s="25" t="n">
        <v>17821.61</v>
      </c>
      <c r="E33" s="30">
        <f>(C33-C32)/C32</f>
        <v/>
      </c>
      <c r="F33" s="30">
        <f>(D33-D32)/D32</f>
        <v/>
      </c>
      <c r="G33" s="29">
        <f>E33-$H$27</f>
        <v/>
      </c>
      <c r="H33" s="32" t="inlineStr">
        <is>
          <t>Annualised Trent Volatility</t>
        </is>
      </c>
      <c r="I33" s="46">
        <f>STDEV(E6:E755)*SQRT(252)</f>
        <v/>
      </c>
    </row>
    <row r="34" ht="15" customHeight="1">
      <c r="B34" s="26" t="n">
        <v>44242</v>
      </c>
      <c r="C34" s="27" t="n">
        <v>667.62</v>
      </c>
      <c r="D34" s="27" t="n">
        <v>17588.54</v>
      </c>
      <c r="E34" s="28">
        <f>(C34-C33)/C33</f>
        <v/>
      </c>
      <c r="F34" s="28">
        <f>(D34-D33)/D33</f>
        <v/>
      </c>
      <c r="G34" s="29">
        <f>E34-$H$27</f>
        <v/>
      </c>
      <c r="H34" s="34" t="inlineStr">
        <is>
          <t>Annualised Nifty Volatility</t>
        </is>
      </c>
      <c r="I34" s="42">
        <f>STDEV(F6:F755)*SQRT(252)</f>
        <v/>
      </c>
    </row>
    <row r="35" ht="15" customHeight="1">
      <c r="B35" s="24" t="n">
        <v>44243</v>
      </c>
      <c r="C35" s="25" t="n">
        <v>661.5</v>
      </c>
      <c r="D35" s="25" t="n">
        <v>17903.68</v>
      </c>
      <c r="E35" s="30">
        <f>(C35-C34)/C34</f>
        <v/>
      </c>
      <c r="F35" s="30">
        <f>(D35-D34)/D34</f>
        <v/>
      </c>
      <c r="G35" s="29">
        <f>E35-$H$27</f>
        <v/>
      </c>
      <c r="H35" s="29">
        <f>F35-$H$28</f>
        <v/>
      </c>
    </row>
    <row r="36" ht="15" customHeight="1">
      <c r="B36" s="26" t="n">
        <v>44244</v>
      </c>
      <c r="C36" s="27" t="n">
        <v>659.5700000000001</v>
      </c>
      <c r="D36" s="27" t="n">
        <v>18029.29</v>
      </c>
      <c r="E36" s="28">
        <f>(C36-C35)/C35</f>
        <v/>
      </c>
      <c r="F36" s="28">
        <f>(D36-D35)/D35</f>
        <v/>
      </c>
      <c r="G36" s="29">
        <f>E36-$H$27</f>
        <v/>
      </c>
      <c r="H36" s="29">
        <f>F36-$H$28</f>
        <v/>
      </c>
    </row>
    <row r="37" ht="15" customHeight="1">
      <c r="B37" s="24" t="n">
        <v>44245</v>
      </c>
      <c r="C37" s="25" t="n">
        <v>645.8</v>
      </c>
      <c r="D37" s="25" t="n">
        <v>17993.96</v>
      </c>
      <c r="E37" s="30">
        <f>(C37-C36)/C36</f>
        <v/>
      </c>
      <c r="F37" s="30">
        <f>(D37-D36)/D36</f>
        <v/>
      </c>
      <c r="G37" s="29">
        <f>E37-$H$27</f>
        <v/>
      </c>
      <c r="H37" s="47" t="inlineStr">
        <is>
          <t>Beta &gt; 1 implies Trent is more volatile than the market. Typical estimated beta for Trent ≈ 1.25–1.45 given its high-growth retail profile.</t>
        </is>
      </c>
      <c r="I37" s="5" t="n"/>
    </row>
    <row r="38" ht="15" customHeight="1">
      <c r="B38" s="26" t="n">
        <v>44246</v>
      </c>
      <c r="C38" s="27" t="n">
        <v>660.4299999999999</v>
      </c>
      <c r="D38" s="27" t="n">
        <v>17957.46</v>
      </c>
      <c r="E38" s="28">
        <f>(C38-C37)/C37</f>
        <v/>
      </c>
      <c r="F38" s="28">
        <f>(D38-D37)/D37</f>
        <v/>
      </c>
      <c r="G38" s="29">
        <f>E38-$H$27</f>
        <v/>
      </c>
      <c r="H38" s="47" t="inlineStr">
        <is>
          <t>Regression equation: Rt = α + β·Rm + ε  Interpretation: For every 1% move in Nifty, Trent moves by β%.</t>
        </is>
      </c>
      <c r="I38" s="5" t="n"/>
    </row>
    <row r="39" ht="15" customHeight="1">
      <c r="B39" s="24" t="n">
        <v>44249</v>
      </c>
      <c r="C39" s="25" t="n">
        <v>670.91</v>
      </c>
      <c r="D39" s="25" t="n">
        <v>17793.35</v>
      </c>
      <c r="E39" s="30">
        <f>(C39-C38)/C38</f>
        <v/>
      </c>
      <c r="F39" s="30">
        <f>(D39-D38)/D38</f>
        <v/>
      </c>
      <c r="G39" s="29">
        <f>E39-$H$27</f>
        <v/>
      </c>
      <c r="H39" s="29">
        <f>F39-$H$28</f>
        <v/>
      </c>
    </row>
    <row r="40" ht="15" customHeight="1">
      <c r="B40" s="26" t="n">
        <v>44250</v>
      </c>
      <c r="C40" s="27" t="n">
        <v>669.34</v>
      </c>
      <c r="D40" s="27" t="n">
        <v>17677.05</v>
      </c>
      <c r="E40" s="28">
        <f>(C40-C39)/C39</f>
        <v/>
      </c>
      <c r="F40" s="28">
        <f>(D40-D39)/D39</f>
        <v/>
      </c>
      <c r="G40" s="29">
        <f>E40-$H$27</f>
        <v/>
      </c>
      <c r="H40" s="29">
        <f>F40-$H$28</f>
        <v/>
      </c>
    </row>
    <row r="41" ht="15" customHeight="1">
      <c r="B41" s="24" t="n">
        <v>44251</v>
      </c>
      <c r="C41" s="25" t="n">
        <v>671.1</v>
      </c>
      <c r="D41" s="25" t="n">
        <v>17812.72</v>
      </c>
      <c r="E41" s="30">
        <f>(C41-C40)/C40</f>
        <v/>
      </c>
      <c r="F41" s="30">
        <f>(D41-D40)/D40</f>
        <v/>
      </c>
      <c r="G41" s="29">
        <f>E41-$H$27</f>
        <v/>
      </c>
      <c r="H41" s="29">
        <f>F41-$H$28</f>
        <v/>
      </c>
    </row>
    <row r="42" ht="15" customHeight="1">
      <c r="B42" s="26" t="n">
        <v>44252</v>
      </c>
      <c r="C42" s="27" t="n">
        <v>671.39</v>
      </c>
      <c r="D42" s="27" t="n">
        <v>17789.51</v>
      </c>
      <c r="E42" s="28">
        <f>(C42-C41)/C41</f>
        <v/>
      </c>
      <c r="F42" s="28">
        <f>(D42-D41)/D41</f>
        <v/>
      </c>
      <c r="G42" s="29">
        <f>E42-$H$27</f>
        <v/>
      </c>
      <c r="H42" s="29">
        <f>F42-$H$28</f>
        <v/>
      </c>
    </row>
    <row r="43" ht="15" customHeight="1">
      <c r="B43" s="24" t="n">
        <v>44253</v>
      </c>
      <c r="C43" s="25" t="n">
        <v>649.52</v>
      </c>
      <c r="D43" s="25" t="n">
        <v>17774.6</v>
      </c>
      <c r="E43" s="30">
        <f>(C43-C42)/C42</f>
        <v/>
      </c>
      <c r="F43" s="30">
        <f>(D43-D42)/D42</f>
        <v/>
      </c>
      <c r="G43" s="29">
        <f>E43-$H$27</f>
        <v/>
      </c>
      <c r="H43" s="29">
        <f>F43-$H$28</f>
        <v/>
      </c>
    </row>
    <row r="44" ht="15" customHeight="1">
      <c r="B44" s="26" t="n">
        <v>44256</v>
      </c>
      <c r="C44" s="27" t="n">
        <v>654.14</v>
      </c>
      <c r="D44" s="27" t="n">
        <v>17633.82</v>
      </c>
      <c r="E44" s="28">
        <f>(C44-C43)/C43</f>
        <v/>
      </c>
      <c r="F44" s="28">
        <f>(D44-D43)/D43</f>
        <v/>
      </c>
      <c r="G44" s="29">
        <f>E44-$H$27</f>
        <v/>
      </c>
      <c r="H44" s="29">
        <f>F44-$H$28</f>
        <v/>
      </c>
    </row>
    <row r="45" ht="15" customHeight="1">
      <c r="B45" s="24" t="n">
        <v>44257</v>
      </c>
      <c r="C45" s="25" t="n">
        <v>658.1799999999999</v>
      </c>
      <c r="D45" s="25" t="n">
        <v>17320.47</v>
      </c>
      <c r="E45" s="30">
        <f>(C45-C44)/C44</f>
        <v/>
      </c>
      <c r="F45" s="30">
        <f>(D45-D44)/D44</f>
        <v/>
      </c>
      <c r="G45" s="29">
        <f>E45-$H$27</f>
        <v/>
      </c>
      <c r="H45" s="29">
        <f>F45-$H$28</f>
        <v/>
      </c>
    </row>
    <row r="46" ht="15" customHeight="1">
      <c r="B46" s="26" t="n">
        <v>44258</v>
      </c>
      <c r="C46" s="27" t="n">
        <v>659.23</v>
      </c>
      <c r="D46" s="27" t="n">
        <v>17175.89</v>
      </c>
      <c r="E46" s="28">
        <f>(C46-C45)/C45</f>
        <v/>
      </c>
      <c r="F46" s="28">
        <f>(D46-D45)/D45</f>
        <v/>
      </c>
      <c r="G46" s="29">
        <f>E46-$H$27</f>
        <v/>
      </c>
      <c r="H46" s="29">
        <f>F46-$H$28</f>
        <v/>
      </c>
    </row>
    <row r="47" ht="15" customHeight="1">
      <c r="B47" s="24" t="n">
        <v>44259</v>
      </c>
      <c r="C47" s="25" t="n">
        <v>665.85</v>
      </c>
      <c r="D47" s="25" t="n">
        <v>17095.83</v>
      </c>
      <c r="E47" s="30">
        <f>(C47-C46)/C46</f>
        <v/>
      </c>
      <c r="F47" s="30">
        <f>(D47-D46)/D46</f>
        <v/>
      </c>
      <c r="G47" s="29">
        <f>E47-$H$27</f>
        <v/>
      </c>
      <c r="H47" s="29">
        <f>F47-$H$28</f>
        <v/>
      </c>
    </row>
    <row r="48" ht="15" customHeight="1">
      <c r="B48" s="26" t="n">
        <v>44260</v>
      </c>
      <c r="C48" s="27" t="n">
        <v>677.16</v>
      </c>
      <c r="D48" s="27" t="n">
        <v>17177.21</v>
      </c>
      <c r="E48" s="28">
        <f>(C48-C47)/C47</f>
        <v/>
      </c>
      <c r="F48" s="28">
        <f>(D48-D47)/D47</f>
        <v/>
      </c>
      <c r="G48" s="29">
        <f>E48-$H$27</f>
        <v/>
      </c>
      <c r="H48" s="29">
        <f>F48-$H$28</f>
        <v/>
      </c>
    </row>
    <row r="49" ht="15" customHeight="1">
      <c r="B49" s="24" t="n">
        <v>44263</v>
      </c>
      <c r="C49" s="25" t="n">
        <v>673.78</v>
      </c>
      <c r="D49" s="25" t="n">
        <v>17288.62</v>
      </c>
      <c r="E49" s="30">
        <f>(C49-C48)/C48</f>
        <v/>
      </c>
      <c r="F49" s="30">
        <f>(D49-D48)/D48</f>
        <v/>
      </c>
      <c r="G49" s="29">
        <f>E49-$H$27</f>
        <v/>
      </c>
      <c r="H49" s="29">
        <f>F49-$H$28</f>
        <v/>
      </c>
    </row>
    <row r="50" ht="15" customHeight="1">
      <c r="B50" s="26" t="n">
        <v>44264</v>
      </c>
      <c r="C50" s="27" t="n">
        <v>652.77</v>
      </c>
      <c r="D50" s="27" t="n">
        <v>17168.99</v>
      </c>
      <c r="E50" s="28">
        <f>(C50-C49)/C49</f>
        <v/>
      </c>
      <c r="F50" s="28">
        <f>(D50-D49)/D49</f>
        <v/>
      </c>
      <c r="G50" s="29">
        <f>E50-$H$27</f>
        <v/>
      </c>
      <c r="H50" s="29">
        <f>F50-$H$28</f>
        <v/>
      </c>
    </row>
    <row r="51" ht="15" customHeight="1">
      <c r="B51" s="24" t="n">
        <v>44265</v>
      </c>
      <c r="C51" s="25" t="n">
        <v>658.37</v>
      </c>
      <c r="D51" s="25" t="n">
        <v>16959.37</v>
      </c>
      <c r="E51" s="30">
        <f>(C51-C50)/C50</f>
        <v/>
      </c>
      <c r="F51" s="30">
        <f>(D51-D50)/D50</f>
        <v/>
      </c>
      <c r="G51" s="29">
        <f>E51-$H$27</f>
        <v/>
      </c>
      <c r="H51" s="29">
        <f>F51-$H$28</f>
        <v/>
      </c>
    </row>
    <row r="52" ht="15" customHeight="1">
      <c r="B52" s="26" t="n">
        <v>44266</v>
      </c>
      <c r="C52" s="27" t="n">
        <v>642.98</v>
      </c>
      <c r="D52" s="27" t="n">
        <v>16810.06</v>
      </c>
      <c r="E52" s="28">
        <f>(C52-C51)/C51</f>
        <v/>
      </c>
      <c r="F52" s="28">
        <f>(D52-D51)/D51</f>
        <v/>
      </c>
      <c r="G52" s="29">
        <f>E52-$H$27</f>
        <v/>
      </c>
      <c r="H52" s="29">
        <f>F52-$H$28</f>
        <v/>
      </c>
    </row>
    <row r="53" ht="15" customHeight="1">
      <c r="B53" s="24" t="n">
        <v>44267</v>
      </c>
      <c r="C53" s="25" t="n">
        <v>640.55</v>
      </c>
      <c r="D53" s="25" t="n">
        <v>17143.12</v>
      </c>
      <c r="E53" s="30">
        <f>(C53-C52)/C52</f>
        <v/>
      </c>
      <c r="F53" s="30">
        <f>(D53-D52)/D52</f>
        <v/>
      </c>
      <c r="G53" s="29">
        <f>E53-$H$27</f>
        <v/>
      </c>
      <c r="H53" s="29">
        <f>F53-$H$28</f>
        <v/>
      </c>
    </row>
    <row r="54" ht="15" customHeight="1">
      <c r="B54" s="26" t="n">
        <v>44270</v>
      </c>
      <c r="C54" s="27" t="n">
        <v>650.15</v>
      </c>
      <c r="D54" s="27" t="n">
        <v>16893.02</v>
      </c>
      <c r="E54" s="28">
        <f>(C54-C53)/C53</f>
        <v/>
      </c>
      <c r="F54" s="28">
        <f>(D54-D53)/D53</f>
        <v/>
      </c>
      <c r="G54" s="29">
        <f>E54-$H$27</f>
        <v/>
      </c>
      <c r="H54" s="29">
        <f>F54-$H$28</f>
        <v/>
      </c>
    </row>
    <row r="55" ht="15" customHeight="1">
      <c r="B55" s="24" t="n">
        <v>44271</v>
      </c>
      <c r="C55" s="25" t="n">
        <v>639.23</v>
      </c>
      <c r="D55" s="25" t="n">
        <v>16980.65</v>
      </c>
      <c r="E55" s="30">
        <f>(C55-C54)/C54</f>
        <v/>
      </c>
      <c r="F55" s="30">
        <f>(D55-D54)/D54</f>
        <v/>
      </c>
      <c r="G55" s="29">
        <f>E55-$H$27</f>
        <v/>
      </c>
      <c r="H55" s="29">
        <f>F55-$H$28</f>
        <v/>
      </c>
    </row>
    <row r="56" ht="15" customHeight="1">
      <c r="B56" s="26" t="n">
        <v>44272</v>
      </c>
      <c r="C56" s="27" t="n">
        <v>643.47</v>
      </c>
      <c r="D56" s="27" t="n">
        <v>16953.85</v>
      </c>
      <c r="E56" s="28">
        <f>(C56-C55)/C55</f>
        <v/>
      </c>
      <c r="F56" s="28">
        <f>(D56-D55)/D55</f>
        <v/>
      </c>
      <c r="G56" s="29">
        <f>E56-$H$27</f>
        <v/>
      </c>
      <c r="H56" s="29">
        <f>F56-$H$28</f>
        <v/>
      </c>
    </row>
    <row r="57" ht="15" customHeight="1">
      <c r="B57" s="24" t="n">
        <v>44273</v>
      </c>
      <c r="C57" s="25" t="n">
        <v>642.01</v>
      </c>
      <c r="D57" s="25" t="n">
        <v>17016.36</v>
      </c>
      <c r="E57" s="30">
        <f>(C57-C56)/C56</f>
        <v/>
      </c>
      <c r="F57" s="30">
        <f>(D57-D56)/D56</f>
        <v/>
      </c>
      <c r="G57" s="29">
        <f>E57-$H$27</f>
        <v/>
      </c>
      <c r="H57" s="29">
        <f>F57-$H$28</f>
        <v/>
      </c>
    </row>
    <row r="58" ht="15" customHeight="1">
      <c r="B58" s="26" t="n">
        <v>44274</v>
      </c>
      <c r="C58" s="27" t="n">
        <v>653.3200000000001</v>
      </c>
      <c r="D58" s="27" t="n">
        <v>17003.55</v>
      </c>
      <c r="E58" s="28">
        <f>(C58-C57)/C57</f>
        <v/>
      </c>
      <c r="F58" s="28">
        <f>(D58-D57)/D57</f>
        <v/>
      </c>
      <c r="G58" s="29">
        <f>E58-$H$27</f>
        <v/>
      </c>
      <c r="H58" s="29">
        <f>F58-$H$28</f>
        <v/>
      </c>
    </row>
    <row r="59" ht="15" customHeight="1">
      <c r="B59" s="24" t="n">
        <v>44277</v>
      </c>
      <c r="C59" s="25" t="n">
        <v>671.91</v>
      </c>
      <c r="D59" s="25" t="n">
        <v>17245.84</v>
      </c>
      <c r="E59" s="30">
        <f>(C59-C58)/C58</f>
        <v/>
      </c>
      <c r="F59" s="30">
        <f>(D59-D58)/D58</f>
        <v/>
      </c>
      <c r="G59" s="29">
        <f>E59-$H$27</f>
        <v/>
      </c>
      <c r="H59" s="29">
        <f>F59-$H$28</f>
        <v/>
      </c>
    </row>
    <row r="60" ht="15" customHeight="1">
      <c r="B60" s="26" t="n">
        <v>44278</v>
      </c>
      <c r="C60" s="27" t="n">
        <v>664.21</v>
      </c>
      <c r="D60" s="27" t="n">
        <v>17403.87</v>
      </c>
      <c r="E60" s="28">
        <f>(C60-C59)/C59</f>
        <v/>
      </c>
      <c r="F60" s="28">
        <f>(D60-D59)/D59</f>
        <v/>
      </c>
      <c r="G60" s="29">
        <f>E60-$H$27</f>
        <v/>
      </c>
      <c r="H60" s="29">
        <f>F60-$H$28</f>
        <v/>
      </c>
    </row>
    <row r="61" ht="15" customHeight="1">
      <c r="B61" s="24" t="n">
        <v>44279</v>
      </c>
      <c r="C61" s="25" t="n">
        <v>659.15</v>
      </c>
      <c r="D61" s="25" t="n">
        <v>17338.89</v>
      </c>
      <c r="E61" s="30">
        <f>(C61-C60)/C60</f>
        <v/>
      </c>
      <c r="F61" s="30">
        <f>(D61-D60)/D60</f>
        <v/>
      </c>
      <c r="G61" s="29">
        <f>E61-$H$27</f>
        <v/>
      </c>
      <c r="H61" s="29">
        <f>F61-$H$28</f>
        <v/>
      </c>
    </row>
    <row r="62" ht="15" customHeight="1">
      <c r="B62" s="26" t="n">
        <v>44280</v>
      </c>
      <c r="C62" s="27" t="n">
        <v>668.4400000000001</v>
      </c>
      <c r="D62" s="27" t="n">
        <v>17443.4</v>
      </c>
      <c r="E62" s="28">
        <f>(C62-C61)/C61</f>
        <v/>
      </c>
      <c r="F62" s="28">
        <f>(D62-D61)/D61</f>
        <v/>
      </c>
      <c r="G62" s="29">
        <f>E62-$H$27</f>
        <v/>
      </c>
      <c r="H62" s="29">
        <f>F62-$H$28</f>
        <v/>
      </c>
    </row>
    <row r="63" ht="15" customHeight="1">
      <c r="B63" s="24" t="n">
        <v>44281</v>
      </c>
      <c r="C63" s="25" t="n">
        <v>637.87</v>
      </c>
      <c r="D63" s="25" t="n">
        <v>17435.02</v>
      </c>
      <c r="E63" s="30">
        <f>(C63-C62)/C62</f>
        <v/>
      </c>
      <c r="F63" s="30">
        <f>(D63-D62)/D62</f>
        <v/>
      </c>
      <c r="G63" s="29">
        <f>E63-$H$27</f>
        <v/>
      </c>
      <c r="H63" s="29">
        <f>F63-$H$28</f>
        <v/>
      </c>
    </row>
    <row r="64" ht="15" customHeight="1">
      <c r="B64" s="26" t="n">
        <v>44284</v>
      </c>
      <c r="C64" s="27" t="n">
        <v>646.04</v>
      </c>
      <c r="D64" s="27" t="n">
        <v>17065.06</v>
      </c>
      <c r="E64" s="28">
        <f>(C64-C63)/C63</f>
        <v/>
      </c>
      <c r="F64" s="28">
        <f>(D64-D63)/D63</f>
        <v/>
      </c>
      <c r="G64" s="29">
        <f>E64-$H$27</f>
        <v/>
      </c>
      <c r="H64" s="29">
        <f>F64-$H$28</f>
        <v/>
      </c>
    </row>
    <row r="65" ht="15" customHeight="1">
      <c r="B65" s="24" t="n">
        <v>44285</v>
      </c>
      <c r="C65" s="25" t="n">
        <v>659.6</v>
      </c>
      <c r="D65" s="25" t="n">
        <v>17142.58</v>
      </c>
      <c r="E65" s="30">
        <f>(C65-C64)/C64</f>
        <v/>
      </c>
      <c r="F65" s="30">
        <f>(D65-D64)/D64</f>
        <v/>
      </c>
      <c r="G65" s="29">
        <f>E65-$H$27</f>
        <v/>
      </c>
      <c r="H65" s="29">
        <f>F65-$H$28</f>
        <v/>
      </c>
    </row>
    <row r="66" ht="15" customHeight="1">
      <c r="B66" s="26" t="n">
        <v>44286</v>
      </c>
      <c r="C66" s="27" t="n">
        <v>673.09</v>
      </c>
      <c r="D66" s="27" t="n">
        <v>16947.48</v>
      </c>
      <c r="E66" s="28">
        <f>(C66-C65)/C65</f>
        <v/>
      </c>
      <c r="F66" s="28">
        <f>(D66-D65)/D65</f>
        <v/>
      </c>
      <c r="G66" s="29">
        <f>E66-$H$27</f>
        <v/>
      </c>
      <c r="H66" s="29">
        <f>F66-$H$28</f>
        <v/>
      </c>
    </row>
    <row r="67" ht="15" customHeight="1">
      <c r="B67" s="24" t="n">
        <v>44287</v>
      </c>
      <c r="C67" s="25" t="n">
        <v>680.6799999999999</v>
      </c>
      <c r="D67" s="25" t="n">
        <v>17019.16</v>
      </c>
      <c r="E67" s="30">
        <f>(C67-C66)/C66</f>
        <v/>
      </c>
      <c r="F67" s="30">
        <f>(D67-D66)/D66</f>
        <v/>
      </c>
      <c r="G67" s="29">
        <f>E67-$H$27</f>
        <v/>
      </c>
      <c r="H67" s="29">
        <f>F67-$H$28</f>
        <v/>
      </c>
    </row>
    <row r="68" ht="15" customHeight="1">
      <c r="B68" s="26" t="n">
        <v>44288</v>
      </c>
      <c r="C68" s="27" t="n">
        <v>675.67</v>
      </c>
      <c r="D68" s="27" t="n">
        <v>16781.76</v>
      </c>
      <c r="E68" s="28">
        <f>(C68-C67)/C67</f>
        <v/>
      </c>
      <c r="F68" s="28">
        <f>(D68-D67)/D67</f>
        <v/>
      </c>
      <c r="G68" s="29">
        <f>E68-$H$27</f>
        <v/>
      </c>
      <c r="H68" s="29">
        <f>F68-$H$28</f>
        <v/>
      </c>
    </row>
    <row r="69" ht="15" customHeight="1">
      <c r="B69" s="24" t="n">
        <v>44291</v>
      </c>
      <c r="C69" s="25" t="n">
        <v>679.2</v>
      </c>
      <c r="D69" s="25" t="n">
        <v>17001.63</v>
      </c>
      <c r="E69" s="30">
        <f>(C69-C68)/C68</f>
        <v/>
      </c>
      <c r="F69" s="30">
        <f>(D69-D68)/D68</f>
        <v/>
      </c>
      <c r="G69" s="29">
        <f>E69-$H$27</f>
        <v/>
      </c>
      <c r="H69" s="29">
        <f>F69-$H$28</f>
        <v/>
      </c>
    </row>
    <row r="70" ht="15" customHeight="1">
      <c r="B70" s="26" t="n">
        <v>44292</v>
      </c>
      <c r="C70" s="27" t="n">
        <v>676.8200000000001</v>
      </c>
      <c r="D70" s="27" t="n">
        <v>17081.65</v>
      </c>
      <c r="E70" s="28">
        <f>(C70-C69)/C69</f>
        <v/>
      </c>
      <c r="F70" s="28">
        <f>(D70-D69)/D69</f>
        <v/>
      </c>
      <c r="G70" s="29">
        <f>E70-$H$27</f>
        <v/>
      </c>
      <c r="H70" s="29">
        <f>F70-$H$28</f>
        <v/>
      </c>
    </row>
    <row r="71" ht="15" customHeight="1">
      <c r="B71" s="24" t="n">
        <v>44293</v>
      </c>
      <c r="C71" s="25" t="n">
        <v>651.91</v>
      </c>
      <c r="D71" s="25" t="n">
        <v>17182.23</v>
      </c>
      <c r="E71" s="30">
        <f>(C71-C70)/C70</f>
        <v/>
      </c>
      <c r="F71" s="30">
        <f>(D71-D70)/D70</f>
        <v/>
      </c>
      <c r="G71" s="29">
        <f>E71-$H$27</f>
        <v/>
      </c>
      <c r="H71" s="29">
        <f>F71-$H$28</f>
        <v/>
      </c>
    </row>
    <row r="72" ht="15" customHeight="1">
      <c r="B72" s="26" t="n">
        <v>44294</v>
      </c>
      <c r="C72" s="27" t="n">
        <v>646.0700000000001</v>
      </c>
      <c r="D72" s="27" t="n">
        <v>17149.97</v>
      </c>
      <c r="E72" s="28">
        <f>(C72-C71)/C71</f>
        <v/>
      </c>
      <c r="F72" s="28">
        <f>(D72-D71)/D71</f>
        <v/>
      </c>
      <c r="G72" s="29">
        <f>E72-$H$27</f>
        <v/>
      </c>
      <c r="H72" s="29">
        <f>F72-$H$28</f>
        <v/>
      </c>
    </row>
    <row r="73" ht="15" customHeight="1">
      <c r="B73" s="24" t="n">
        <v>44295</v>
      </c>
      <c r="C73" s="25" t="n">
        <v>633.88</v>
      </c>
      <c r="D73" s="25" t="n">
        <v>17466.78</v>
      </c>
      <c r="E73" s="30">
        <f>(C73-C72)/C72</f>
        <v/>
      </c>
      <c r="F73" s="30">
        <f>(D73-D72)/D72</f>
        <v/>
      </c>
      <c r="G73" s="29">
        <f>E73-$H$27</f>
        <v/>
      </c>
      <c r="H73" s="29">
        <f>F73-$H$28</f>
        <v/>
      </c>
    </row>
    <row r="74" ht="15" customHeight="1">
      <c r="B74" s="26" t="n">
        <v>44298</v>
      </c>
      <c r="C74" s="27" t="n">
        <v>625.9</v>
      </c>
      <c r="D74" s="27" t="n">
        <v>17425.5</v>
      </c>
      <c r="E74" s="28">
        <f>(C74-C73)/C73</f>
        <v/>
      </c>
      <c r="F74" s="28">
        <f>(D74-D73)/D73</f>
        <v/>
      </c>
      <c r="G74" s="29">
        <f>E74-$H$27</f>
        <v/>
      </c>
      <c r="H74" s="29">
        <f>F74-$H$28</f>
        <v/>
      </c>
    </row>
    <row r="75" ht="15" customHeight="1">
      <c r="B75" s="24" t="n">
        <v>44299</v>
      </c>
      <c r="C75" s="25" t="n">
        <v>632.11</v>
      </c>
      <c r="D75" s="25" t="n">
        <v>17412.22</v>
      </c>
      <c r="E75" s="30">
        <f>(C75-C74)/C74</f>
        <v/>
      </c>
      <c r="F75" s="30">
        <f>(D75-D74)/D74</f>
        <v/>
      </c>
      <c r="G75" s="29">
        <f>E75-$H$27</f>
        <v/>
      </c>
      <c r="H75" s="29">
        <f>F75-$H$28</f>
        <v/>
      </c>
    </row>
    <row r="76" ht="15" customHeight="1">
      <c r="B76" s="26" t="n">
        <v>44300</v>
      </c>
      <c r="C76" s="27" t="n">
        <v>627.45</v>
      </c>
      <c r="D76" s="27" t="n">
        <v>17527.42</v>
      </c>
      <c r="E76" s="28">
        <f>(C76-C75)/C75</f>
        <v/>
      </c>
      <c r="F76" s="28">
        <f>(D76-D75)/D75</f>
        <v/>
      </c>
      <c r="G76" s="29">
        <f>E76-$H$27</f>
        <v/>
      </c>
      <c r="H76" s="29">
        <f>F76-$H$28</f>
        <v/>
      </c>
    </row>
    <row r="77" ht="15" customHeight="1">
      <c r="B77" s="24" t="n">
        <v>44301</v>
      </c>
      <c r="C77" s="25" t="n">
        <v>611.48</v>
      </c>
      <c r="D77" s="25" t="n">
        <v>17596.31</v>
      </c>
      <c r="E77" s="30">
        <f>(C77-C76)/C76</f>
        <v/>
      </c>
      <c r="F77" s="30">
        <f>(D77-D76)/D76</f>
        <v/>
      </c>
      <c r="G77" s="29">
        <f>E77-$H$27</f>
        <v/>
      </c>
      <c r="H77" s="29">
        <f>F77-$H$28</f>
        <v/>
      </c>
    </row>
    <row r="78" ht="15" customHeight="1">
      <c r="B78" s="26" t="n">
        <v>44302</v>
      </c>
      <c r="C78" s="27" t="n">
        <v>636.25</v>
      </c>
      <c r="D78" s="27" t="n">
        <v>17672.39</v>
      </c>
      <c r="E78" s="28">
        <f>(C78-C77)/C77</f>
        <v/>
      </c>
      <c r="F78" s="28">
        <f>(D78-D77)/D77</f>
        <v/>
      </c>
      <c r="G78" s="29">
        <f>E78-$H$27</f>
        <v/>
      </c>
      <c r="H78" s="29">
        <f>F78-$H$28</f>
        <v/>
      </c>
    </row>
    <row r="79" ht="15" customHeight="1">
      <c r="B79" s="24" t="n">
        <v>44305</v>
      </c>
      <c r="C79" s="25" t="n">
        <v>627.33</v>
      </c>
      <c r="D79" s="25" t="n">
        <v>17611.16</v>
      </c>
      <c r="E79" s="30">
        <f>(C79-C78)/C78</f>
        <v/>
      </c>
      <c r="F79" s="30">
        <f>(D79-D78)/D78</f>
        <v/>
      </c>
      <c r="G79" s="29">
        <f>E79-$H$27</f>
        <v/>
      </c>
      <c r="H79" s="29">
        <f>F79-$H$28</f>
        <v/>
      </c>
    </row>
    <row r="80" ht="15" customHeight="1">
      <c r="B80" s="26" t="n">
        <v>44306</v>
      </c>
      <c r="C80" s="27" t="n">
        <v>608.47</v>
      </c>
      <c r="D80" s="27" t="n">
        <v>17617.72</v>
      </c>
      <c r="E80" s="28">
        <f>(C80-C79)/C79</f>
        <v/>
      </c>
      <c r="F80" s="28">
        <f>(D80-D79)/D79</f>
        <v/>
      </c>
      <c r="G80" s="29">
        <f>E80-$H$27</f>
        <v/>
      </c>
      <c r="H80" s="29">
        <f>F80-$H$28</f>
        <v/>
      </c>
    </row>
    <row r="81" ht="15" customHeight="1">
      <c r="B81" s="24" t="n">
        <v>44307</v>
      </c>
      <c r="C81" s="25" t="n">
        <v>629.58</v>
      </c>
      <c r="D81" s="25" t="n">
        <v>17419.69</v>
      </c>
      <c r="E81" s="30">
        <f>(C81-C80)/C80</f>
        <v/>
      </c>
      <c r="F81" s="30">
        <f>(D81-D80)/D80</f>
        <v/>
      </c>
      <c r="G81" s="29">
        <f>E81-$H$27</f>
        <v/>
      </c>
      <c r="H81" s="29">
        <f>F81-$H$28</f>
        <v/>
      </c>
    </row>
    <row r="82" ht="15" customHeight="1">
      <c r="B82" s="26" t="n">
        <v>44308</v>
      </c>
      <c r="C82" s="27" t="n">
        <v>630.58</v>
      </c>
      <c r="D82" s="27" t="n">
        <v>17362.88</v>
      </c>
      <c r="E82" s="28">
        <f>(C82-C81)/C81</f>
        <v/>
      </c>
      <c r="F82" s="28">
        <f>(D82-D81)/D81</f>
        <v/>
      </c>
      <c r="G82" s="29">
        <f>E82-$H$27</f>
        <v/>
      </c>
      <c r="H82" s="29">
        <f>F82-$H$28</f>
        <v/>
      </c>
    </row>
    <row r="83" ht="15" customHeight="1">
      <c r="B83" s="24" t="n">
        <v>44309</v>
      </c>
      <c r="C83" s="25" t="n">
        <v>668.41</v>
      </c>
      <c r="D83" s="25" t="n">
        <v>17672.56</v>
      </c>
      <c r="E83" s="30">
        <f>(C83-C82)/C82</f>
        <v/>
      </c>
      <c r="F83" s="30">
        <f>(D83-D82)/D82</f>
        <v/>
      </c>
      <c r="G83" s="29">
        <f>E83-$H$27</f>
        <v/>
      </c>
      <c r="H83" s="29">
        <f>F83-$H$28</f>
        <v/>
      </c>
    </row>
    <row r="84" ht="15" customHeight="1">
      <c r="B84" s="26" t="n">
        <v>44312</v>
      </c>
      <c r="C84" s="27" t="n">
        <v>678.22</v>
      </c>
      <c r="D84" s="27" t="n">
        <v>17903.06</v>
      </c>
      <c r="E84" s="28">
        <f>(C84-C83)/C83</f>
        <v/>
      </c>
      <c r="F84" s="28">
        <f>(D84-D83)/D83</f>
        <v/>
      </c>
      <c r="G84" s="29">
        <f>E84-$H$27</f>
        <v/>
      </c>
      <c r="H84" s="29">
        <f>F84-$H$28</f>
        <v/>
      </c>
    </row>
    <row r="85" ht="15" customHeight="1">
      <c r="B85" s="24" t="n">
        <v>44313</v>
      </c>
      <c r="C85" s="25" t="n">
        <v>678.1799999999999</v>
      </c>
      <c r="D85" s="25" t="n">
        <v>17697.76</v>
      </c>
      <c r="E85" s="30">
        <f>(C85-C84)/C84</f>
        <v/>
      </c>
      <c r="F85" s="30">
        <f>(D85-D84)/D84</f>
        <v/>
      </c>
      <c r="G85" s="29">
        <f>E85-$H$27</f>
        <v/>
      </c>
      <c r="H85" s="29">
        <f>F85-$H$28</f>
        <v/>
      </c>
    </row>
    <row r="86" ht="15" customHeight="1">
      <c r="B86" s="26" t="n">
        <v>44314</v>
      </c>
      <c r="C86" s="27" t="n">
        <v>690.49</v>
      </c>
      <c r="D86" s="27" t="n">
        <v>17759.66</v>
      </c>
      <c r="E86" s="28">
        <f>(C86-C85)/C85</f>
        <v/>
      </c>
      <c r="F86" s="28">
        <f>(D86-D85)/D85</f>
        <v/>
      </c>
      <c r="G86" s="29">
        <f>E86-$H$27</f>
        <v/>
      </c>
      <c r="H86" s="29">
        <f>F86-$H$28</f>
        <v/>
      </c>
    </row>
    <row r="87" ht="15" customHeight="1">
      <c r="B87" s="24" t="n">
        <v>44315</v>
      </c>
      <c r="C87" s="25" t="n">
        <v>678.5599999999999</v>
      </c>
      <c r="D87" s="25" t="n">
        <v>17666.3</v>
      </c>
      <c r="E87" s="30">
        <f>(C87-C86)/C86</f>
        <v/>
      </c>
      <c r="F87" s="30">
        <f>(D87-D86)/D86</f>
        <v/>
      </c>
      <c r="G87" s="29">
        <f>E87-$H$27</f>
        <v/>
      </c>
      <c r="H87" s="29">
        <f>F87-$H$28</f>
        <v/>
      </c>
    </row>
    <row r="88" ht="15" customHeight="1">
      <c r="B88" s="26" t="n">
        <v>44316</v>
      </c>
      <c r="C88" s="27" t="n">
        <v>680.22</v>
      </c>
      <c r="D88" s="27" t="n">
        <v>17409.01</v>
      </c>
      <c r="E88" s="28">
        <f>(C88-C87)/C87</f>
        <v/>
      </c>
      <c r="F88" s="28">
        <f>(D88-D87)/D87</f>
        <v/>
      </c>
      <c r="G88" s="29">
        <f>E88-$H$27</f>
        <v/>
      </c>
      <c r="H88" s="29">
        <f>F88-$H$28</f>
        <v/>
      </c>
    </row>
    <row r="89" ht="15" customHeight="1">
      <c r="B89" s="24" t="n">
        <v>44319</v>
      </c>
      <c r="C89" s="25" t="n">
        <v>685.53</v>
      </c>
      <c r="D89" s="25" t="n">
        <v>17357.38</v>
      </c>
      <c r="E89" s="30">
        <f>(C89-C88)/C88</f>
        <v/>
      </c>
      <c r="F89" s="30">
        <f>(D89-D88)/D88</f>
        <v/>
      </c>
      <c r="G89" s="29">
        <f>E89-$H$27</f>
        <v/>
      </c>
      <c r="H89" s="29">
        <f>F89-$H$28</f>
        <v/>
      </c>
    </row>
    <row r="90" ht="15" customHeight="1">
      <c r="B90" s="26" t="n">
        <v>44320</v>
      </c>
      <c r="C90" s="27" t="n">
        <v>683.97</v>
      </c>
      <c r="D90" s="27" t="n">
        <v>17116.18</v>
      </c>
      <c r="E90" s="28">
        <f>(C90-C89)/C89</f>
        <v/>
      </c>
      <c r="F90" s="28">
        <f>(D90-D89)/D89</f>
        <v/>
      </c>
      <c r="G90" s="29">
        <f>E90-$H$27</f>
        <v/>
      </c>
      <c r="H90" s="29">
        <f>F90-$H$28</f>
        <v/>
      </c>
    </row>
    <row r="91" ht="15" customHeight="1">
      <c r="B91" s="24" t="n">
        <v>44321</v>
      </c>
      <c r="C91" s="25" t="n">
        <v>690.49</v>
      </c>
      <c r="D91" s="25" t="n">
        <v>16948.17</v>
      </c>
      <c r="E91" s="30">
        <f>(C91-C90)/C90</f>
        <v/>
      </c>
      <c r="F91" s="30">
        <f>(D91-D90)/D90</f>
        <v/>
      </c>
      <c r="G91" s="29">
        <f>E91-$H$27</f>
        <v/>
      </c>
      <c r="H91" s="29">
        <f>F91-$H$28</f>
        <v/>
      </c>
    </row>
    <row r="92" ht="15" customHeight="1">
      <c r="B92" s="26" t="n">
        <v>44322</v>
      </c>
      <c r="C92" s="27" t="n">
        <v>684.34</v>
      </c>
      <c r="D92" s="27" t="n">
        <v>16990.46</v>
      </c>
      <c r="E92" s="28">
        <f>(C92-C91)/C91</f>
        <v/>
      </c>
      <c r="F92" s="28">
        <f>(D92-D91)/D91</f>
        <v/>
      </c>
      <c r="G92" s="29">
        <f>E92-$H$27</f>
        <v/>
      </c>
      <c r="H92" s="29">
        <f>F92-$H$28</f>
        <v/>
      </c>
    </row>
    <row r="93" ht="15" customHeight="1">
      <c r="B93" s="24" t="n">
        <v>44323</v>
      </c>
      <c r="C93" s="25" t="n">
        <v>677.46</v>
      </c>
      <c r="D93" s="25" t="n">
        <v>16979.69</v>
      </c>
      <c r="E93" s="30">
        <f>(C93-C92)/C92</f>
        <v/>
      </c>
      <c r="F93" s="30">
        <f>(D93-D92)/D92</f>
        <v/>
      </c>
      <c r="G93" s="29">
        <f>E93-$H$27</f>
        <v/>
      </c>
      <c r="H93" s="29">
        <f>F93-$H$28</f>
        <v/>
      </c>
    </row>
    <row r="94" ht="15" customHeight="1">
      <c r="B94" s="26" t="n">
        <v>44326</v>
      </c>
      <c r="C94" s="27" t="n">
        <v>667.45</v>
      </c>
      <c r="D94" s="27" t="n">
        <v>16954.8</v>
      </c>
      <c r="E94" s="28">
        <f>(C94-C93)/C93</f>
        <v/>
      </c>
      <c r="F94" s="28">
        <f>(D94-D93)/D93</f>
        <v/>
      </c>
      <c r="G94" s="29">
        <f>E94-$H$27</f>
        <v/>
      </c>
      <c r="H94" s="29">
        <f>F94-$H$28</f>
        <v/>
      </c>
    </row>
    <row r="95" ht="15" customHeight="1">
      <c r="B95" s="24" t="n">
        <v>44327</v>
      </c>
      <c r="C95" s="25" t="n">
        <v>667.35</v>
      </c>
      <c r="D95" s="25" t="n">
        <v>16999.82</v>
      </c>
      <c r="E95" s="30">
        <f>(C95-C94)/C94</f>
        <v/>
      </c>
      <c r="F95" s="30">
        <f>(D95-D94)/D94</f>
        <v/>
      </c>
      <c r="G95" s="29">
        <f>E95-$H$27</f>
        <v/>
      </c>
      <c r="H95" s="29">
        <f>F95-$H$28</f>
        <v/>
      </c>
    </row>
    <row r="96" ht="15" customHeight="1">
      <c r="B96" s="26" t="n">
        <v>44328</v>
      </c>
      <c r="C96" s="27" t="n">
        <v>663</v>
      </c>
      <c r="D96" s="27" t="n">
        <v>16810.95</v>
      </c>
      <c r="E96" s="28">
        <f>(C96-C95)/C95</f>
        <v/>
      </c>
      <c r="F96" s="28">
        <f>(D96-D95)/D95</f>
        <v/>
      </c>
      <c r="G96" s="29">
        <f>E96-$H$27</f>
        <v/>
      </c>
      <c r="H96" s="29">
        <f>F96-$H$28</f>
        <v/>
      </c>
    </row>
    <row r="97" ht="15" customHeight="1">
      <c r="B97" s="24" t="n">
        <v>44329</v>
      </c>
      <c r="C97" s="25" t="n">
        <v>648.84</v>
      </c>
      <c r="D97" s="25" t="n">
        <v>16695.83</v>
      </c>
      <c r="E97" s="30">
        <f>(C97-C96)/C96</f>
        <v/>
      </c>
      <c r="F97" s="30">
        <f>(D97-D96)/D96</f>
        <v/>
      </c>
      <c r="G97" s="29">
        <f>E97-$H$27</f>
        <v/>
      </c>
      <c r="H97" s="29">
        <f>F97-$H$28</f>
        <v/>
      </c>
    </row>
    <row r="98" ht="15" customHeight="1">
      <c r="B98" s="26" t="n">
        <v>44330</v>
      </c>
      <c r="C98" s="27" t="n">
        <v>657.91</v>
      </c>
      <c r="D98" s="27" t="n">
        <v>17133.63</v>
      </c>
      <c r="E98" s="28">
        <f>(C98-C97)/C97</f>
        <v/>
      </c>
      <c r="F98" s="28">
        <f>(D98-D97)/D97</f>
        <v/>
      </c>
      <c r="G98" s="29">
        <f>E98-$H$27</f>
        <v/>
      </c>
      <c r="H98" s="29">
        <f>F98-$H$28</f>
        <v/>
      </c>
    </row>
    <row r="99" ht="15" customHeight="1">
      <c r="B99" s="24" t="n">
        <v>44333</v>
      </c>
      <c r="C99" s="25" t="n">
        <v>653.09</v>
      </c>
      <c r="D99" s="25" t="n">
        <v>17343.93</v>
      </c>
      <c r="E99" s="30">
        <f>(C99-C98)/C98</f>
        <v/>
      </c>
      <c r="F99" s="30">
        <f>(D99-D98)/D98</f>
        <v/>
      </c>
      <c r="G99" s="29">
        <f>E99-$H$27</f>
        <v/>
      </c>
      <c r="H99" s="29">
        <f>F99-$H$28</f>
        <v/>
      </c>
    </row>
    <row r="100" ht="15" customHeight="1">
      <c r="B100" s="26" t="n">
        <v>44334</v>
      </c>
      <c r="C100" s="27" t="n">
        <v>666.2</v>
      </c>
      <c r="D100" s="27" t="n">
        <v>17016.14</v>
      </c>
      <c r="E100" s="28">
        <f>(C100-C99)/C99</f>
        <v/>
      </c>
      <c r="F100" s="28">
        <f>(D100-D99)/D99</f>
        <v/>
      </c>
      <c r="G100" s="29">
        <f>E100-$H$27</f>
        <v/>
      </c>
      <c r="H100" s="29">
        <f>F100-$H$28</f>
        <v/>
      </c>
    </row>
    <row r="101" ht="15" customHeight="1">
      <c r="B101" s="24" t="n">
        <v>44335</v>
      </c>
      <c r="C101" s="25" t="n">
        <v>668.54</v>
      </c>
      <c r="D101" s="25" t="n">
        <v>17274.44</v>
      </c>
      <c r="E101" s="30">
        <f>(C101-C100)/C100</f>
        <v/>
      </c>
      <c r="F101" s="30">
        <f>(D101-D100)/D100</f>
        <v/>
      </c>
      <c r="G101" s="29">
        <f>E101-$H$27</f>
        <v/>
      </c>
      <c r="H101" s="29">
        <f>F101-$H$28</f>
        <v/>
      </c>
    </row>
    <row r="102" ht="15" customHeight="1">
      <c r="B102" s="26" t="n">
        <v>44336</v>
      </c>
      <c r="C102" s="27" t="n">
        <v>651.75</v>
      </c>
      <c r="D102" s="27" t="n">
        <v>17366.05</v>
      </c>
      <c r="E102" s="28">
        <f>(C102-C101)/C101</f>
        <v/>
      </c>
      <c r="F102" s="28">
        <f>(D102-D101)/D101</f>
        <v/>
      </c>
      <c r="G102" s="29">
        <f>E102-$H$27</f>
        <v/>
      </c>
      <c r="H102" s="29">
        <f>F102-$H$28</f>
        <v/>
      </c>
    </row>
    <row r="103" ht="15" customHeight="1">
      <c r="B103" s="24" t="n">
        <v>44337</v>
      </c>
      <c r="C103" s="25" t="n">
        <v>640.67</v>
      </c>
      <c r="D103" s="25" t="n">
        <v>17600.97</v>
      </c>
      <c r="E103" s="30">
        <f>(C103-C102)/C102</f>
        <v/>
      </c>
      <c r="F103" s="30">
        <f>(D103-D102)/D102</f>
        <v/>
      </c>
      <c r="G103" s="29">
        <f>E103-$H$27</f>
        <v/>
      </c>
      <c r="H103" s="29">
        <f>F103-$H$28</f>
        <v/>
      </c>
    </row>
    <row r="104" ht="15" customHeight="1">
      <c r="B104" s="26" t="n">
        <v>44340</v>
      </c>
      <c r="C104" s="27" t="n">
        <v>645.92</v>
      </c>
      <c r="D104" s="27" t="n">
        <v>17764.18</v>
      </c>
      <c r="E104" s="28">
        <f>(C104-C103)/C103</f>
        <v/>
      </c>
      <c r="F104" s="28">
        <f>(D104-D103)/D103</f>
        <v/>
      </c>
      <c r="G104" s="29">
        <f>E104-$H$27</f>
        <v/>
      </c>
      <c r="H104" s="29">
        <f>F104-$H$28</f>
        <v/>
      </c>
    </row>
    <row r="105" ht="15" customHeight="1">
      <c r="B105" s="24" t="n">
        <v>44341</v>
      </c>
      <c r="C105" s="25" t="n">
        <v>664.05</v>
      </c>
      <c r="D105" s="25" t="n">
        <v>17905</v>
      </c>
      <c r="E105" s="30">
        <f>(C105-C104)/C104</f>
        <v/>
      </c>
      <c r="F105" s="30">
        <f>(D105-D104)/D104</f>
        <v/>
      </c>
      <c r="G105" s="29">
        <f>E105-$H$27</f>
        <v/>
      </c>
      <c r="H105" s="29">
        <f>F105-$H$28</f>
        <v/>
      </c>
    </row>
    <row r="106" ht="15" customHeight="1">
      <c r="B106" s="26" t="n">
        <v>44342</v>
      </c>
      <c r="C106" s="27" t="n">
        <v>662.38</v>
      </c>
      <c r="D106" s="27" t="n">
        <v>17916.74</v>
      </c>
      <c r="E106" s="28">
        <f>(C106-C105)/C105</f>
        <v/>
      </c>
      <c r="F106" s="28">
        <f>(D106-D105)/D105</f>
        <v/>
      </c>
      <c r="G106" s="29">
        <f>E106-$H$27</f>
        <v/>
      </c>
      <c r="H106" s="29">
        <f>F106-$H$28</f>
        <v/>
      </c>
    </row>
    <row r="107" ht="15" customHeight="1">
      <c r="B107" s="24" t="n">
        <v>44343</v>
      </c>
      <c r="C107" s="25" t="n">
        <v>679.23</v>
      </c>
      <c r="D107" s="25" t="n">
        <v>18038.57</v>
      </c>
      <c r="E107" s="30">
        <f>(C107-C106)/C106</f>
        <v/>
      </c>
      <c r="F107" s="30">
        <f>(D107-D106)/D106</f>
        <v/>
      </c>
      <c r="G107" s="29">
        <f>E107-$H$27</f>
        <v/>
      </c>
      <c r="H107" s="29">
        <f>F107-$H$28</f>
        <v/>
      </c>
    </row>
    <row r="108" ht="15" customHeight="1">
      <c r="B108" s="26" t="n">
        <v>44344</v>
      </c>
      <c r="C108" s="27" t="n">
        <v>654.77</v>
      </c>
      <c r="D108" s="27" t="n">
        <v>18070.46</v>
      </c>
      <c r="E108" s="28">
        <f>(C108-C107)/C107</f>
        <v/>
      </c>
      <c r="F108" s="28">
        <f>(D108-D107)/D107</f>
        <v/>
      </c>
      <c r="G108" s="29">
        <f>E108-$H$27</f>
        <v/>
      </c>
      <c r="H108" s="29">
        <f>F108-$H$28</f>
        <v/>
      </c>
    </row>
    <row r="109" ht="15" customHeight="1">
      <c r="B109" s="24" t="n">
        <v>44347</v>
      </c>
      <c r="C109" s="25" t="n">
        <v>650.58</v>
      </c>
      <c r="D109" s="25" t="n">
        <v>17595.31</v>
      </c>
      <c r="E109" s="30">
        <f>(C109-C108)/C108</f>
        <v/>
      </c>
      <c r="F109" s="30">
        <f>(D109-D108)/D108</f>
        <v/>
      </c>
      <c r="G109" s="29">
        <f>E109-$H$27</f>
        <v/>
      </c>
      <c r="H109" s="29">
        <f>F109-$H$28</f>
        <v/>
      </c>
    </row>
    <row r="110" ht="15" customHeight="1">
      <c r="B110" s="26" t="n">
        <v>44348</v>
      </c>
      <c r="C110" s="27" t="n">
        <v>661.37</v>
      </c>
      <c r="D110" s="27" t="n">
        <v>17576.77</v>
      </c>
      <c r="E110" s="28">
        <f>(C110-C109)/C109</f>
        <v/>
      </c>
      <c r="F110" s="28">
        <f>(D110-D109)/D109</f>
        <v/>
      </c>
      <c r="G110" s="29">
        <f>E110-$H$27</f>
        <v/>
      </c>
      <c r="H110" s="29">
        <f>F110-$H$28</f>
        <v/>
      </c>
    </row>
    <row r="111" ht="15" customHeight="1">
      <c r="B111" s="24" t="n">
        <v>44349</v>
      </c>
      <c r="C111" s="25" t="n">
        <v>659.49</v>
      </c>
      <c r="D111" s="25" t="n">
        <v>17714.9</v>
      </c>
      <c r="E111" s="30">
        <f>(C111-C110)/C110</f>
        <v/>
      </c>
      <c r="F111" s="30">
        <f>(D111-D110)/D110</f>
        <v/>
      </c>
      <c r="G111" s="29">
        <f>E111-$H$27</f>
        <v/>
      </c>
      <c r="H111" s="29">
        <f>F111-$H$28</f>
        <v/>
      </c>
    </row>
    <row r="112" ht="15" customHeight="1">
      <c r="B112" s="26" t="n">
        <v>44350</v>
      </c>
      <c r="C112" s="27" t="n">
        <v>631.15</v>
      </c>
      <c r="D112" s="27" t="n">
        <v>17318.33</v>
      </c>
      <c r="E112" s="28">
        <f>(C112-C111)/C111</f>
        <v/>
      </c>
      <c r="F112" s="28">
        <f>(D112-D111)/D111</f>
        <v/>
      </c>
      <c r="G112" s="29">
        <f>E112-$H$27</f>
        <v/>
      </c>
      <c r="H112" s="29">
        <f>F112-$H$28</f>
        <v/>
      </c>
    </row>
    <row r="113" ht="15" customHeight="1">
      <c r="B113" s="24" t="n">
        <v>44351</v>
      </c>
      <c r="C113" s="25" t="n">
        <v>637.2</v>
      </c>
      <c r="D113" s="25" t="n">
        <v>17312.96</v>
      </c>
      <c r="E113" s="30">
        <f>(C113-C112)/C112</f>
        <v/>
      </c>
      <c r="F113" s="30">
        <f>(D113-D112)/D112</f>
        <v/>
      </c>
      <c r="G113" s="29">
        <f>E113-$H$27</f>
        <v/>
      </c>
      <c r="H113" s="29">
        <f>F113-$H$28</f>
        <v/>
      </c>
    </row>
    <row r="114" ht="15" customHeight="1">
      <c r="B114" s="26" t="n">
        <v>44354</v>
      </c>
      <c r="C114" s="27" t="n">
        <v>648.4299999999999</v>
      </c>
      <c r="D114" s="27" t="n">
        <v>17308.45</v>
      </c>
      <c r="E114" s="28">
        <f>(C114-C113)/C113</f>
        <v/>
      </c>
      <c r="F114" s="28">
        <f>(D114-D113)/D113</f>
        <v/>
      </c>
      <c r="G114" s="29">
        <f>E114-$H$27</f>
        <v/>
      </c>
      <c r="H114" s="29">
        <f>F114-$H$28</f>
        <v/>
      </c>
    </row>
    <row r="115" ht="15" customHeight="1">
      <c r="B115" s="24" t="n">
        <v>44355</v>
      </c>
      <c r="C115" s="25" t="n">
        <v>638.61</v>
      </c>
      <c r="D115" s="25" t="n">
        <v>17399.19</v>
      </c>
      <c r="E115" s="30">
        <f>(C115-C114)/C114</f>
        <v/>
      </c>
      <c r="F115" s="30">
        <f>(D115-D114)/D114</f>
        <v/>
      </c>
      <c r="G115" s="29">
        <f>E115-$H$27</f>
        <v/>
      </c>
      <c r="H115" s="29">
        <f>F115-$H$28</f>
        <v/>
      </c>
    </row>
    <row r="116" ht="15" customHeight="1">
      <c r="B116" s="26" t="n">
        <v>44356</v>
      </c>
      <c r="C116" s="27" t="n">
        <v>642.3</v>
      </c>
      <c r="D116" s="27" t="n">
        <v>17423.95</v>
      </c>
      <c r="E116" s="28">
        <f>(C116-C115)/C115</f>
        <v/>
      </c>
      <c r="F116" s="28">
        <f>(D116-D115)/D115</f>
        <v/>
      </c>
      <c r="G116" s="29">
        <f>E116-$H$27</f>
        <v/>
      </c>
      <c r="H116" s="29">
        <f>F116-$H$28</f>
        <v/>
      </c>
    </row>
    <row r="117" ht="15" customHeight="1">
      <c r="B117" s="24" t="n">
        <v>44357</v>
      </c>
      <c r="C117" s="25" t="n">
        <v>650.23</v>
      </c>
      <c r="D117" s="25" t="n">
        <v>17515.83</v>
      </c>
      <c r="E117" s="30">
        <f>(C117-C116)/C116</f>
        <v/>
      </c>
      <c r="F117" s="30">
        <f>(D117-D116)/D116</f>
        <v/>
      </c>
      <c r="G117" s="29">
        <f>E117-$H$27</f>
        <v/>
      </c>
      <c r="H117" s="29">
        <f>F117-$H$28</f>
        <v/>
      </c>
    </row>
    <row r="118" ht="15" customHeight="1">
      <c r="B118" s="26" t="n">
        <v>44358</v>
      </c>
      <c r="C118" s="27" t="n">
        <v>645.2</v>
      </c>
      <c r="D118" s="27" t="n">
        <v>17419.67</v>
      </c>
      <c r="E118" s="28">
        <f>(C118-C117)/C117</f>
        <v/>
      </c>
      <c r="F118" s="28">
        <f>(D118-D117)/D117</f>
        <v/>
      </c>
      <c r="G118" s="29">
        <f>E118-$H$27</f>
        <v/>
      </c>
      <c r="H118" s="29">
        <f>F118-$H$28</f>
        <v/>
      </c>
    </row>
    <row r="119" ht="15" customHeight="1">
      <c r="B119" s="24" t="n">
        <v>44361</v>
      </c>
      <c r="C119" s="25" t="n">
        <v>648.85</v>
      </c>
      <c r="D119" s="25" t="n">
        <v>17308.31</v>
      </c>
      <c r="E119" s="30">
        <f>(C119-C118)/C118</f>
        <v/>
      </c>
      <c r="F119" s="30">
        <f>(D119-D118)/D118</f>
        <v/>
      </c>
      <c r="G119" s="29">
        <f>E119-$H$27</f>
        <v/>
      </c>
      <c r="H119" s="29">
        <f>F119-$H$28</f>
        <v/>
      </c>
    </row>
    <row r="120" ht="15" customHeight="1">
      <c r="B120" s="26" t="n">
        <v>44362</v>
      </c>
      <c r="C120" s="27" t="n">
        <v>648.35</v>
      </c>
      <c r="D120" s="27" t="n">
        <v>17614.67</v>
      </c>
      <c r="E120" s="28">
        <f>(C120-C119)/C119</f>
        <v/>
      </c>
      <c r="F120" s="28">
        <f>(D120-D119)/D119</f>
        <v/>
      </c>
      <c r="G120" s="29">
        <f>E120-$H$27</f>
        <v/>
      </c>
      <c r="H120" s="29">
        <f>F120-$H$28</f>
        <v/>
      </c>
    </row>
    <row r="121" ht="15" customHeight="1">
      <c r="B121" s="24" t="n">
        <v>44363</v>
      </c>
      <c r="C121" s="25" t="n">
        <v>644.17</v>
      </c>
      <c r="D121" s="25" t="n">
        <v>17503.82</v>
      </c>
      <c r="E121" s="30">
        <f>(C121-C120)/C120</f>
        <v/>
      </c>
      <c r="F121" s="30">
        <f>(D121-D120)/D120</f>
        <v/>
      </c>
      <c r="G121" s="29">
        <f>E121-$H$27</f>
        <v/>
      </c>
      <c r="H121" s="29">
        <f>F121-$H$28</f>
        <v/>
      </c>
    </row>
    <row r="122" ht="15" customHeight="1">
      <c r="B122" s="26" t="n">
        <v>44364</v>
      </c>
      <c r="C122" s="27" t="n">
        <v>645.75</v>
      </c>
      <c r="D122" s="27" t="n">
        <v>17580.43</v>
      </c>
      <c r="E122" s="28">
        <f>(C122-C121)/C121</f>
        <v/>
      </c>
      <c r="F122" s="28">
        <f>(D122-D121)/D121</f>
        <v/>
      </c>
      <c r="G122" s="29">
        <f>E122-$H$27</f>
        <v/>
      </c>
      <c r="H122" s="29">
        <f>F122-$H$28</f>
        <v/>
      </c>
    </row>
    <row r="123" ht="15" customHeight="1">
      <c r="B123" s="24" t="n">
        <v>44365</v>
      </c>
      <c r="C123" s="25" t="n">
        <v>660.83</v>
      </c>
      <c r="D123" s="25" t="n">
        <v>17853.13</v>
      </c>
      <c r="E123" s="30">
        <f>(C123-C122)/C122</f>
        <v/>
      </c>
      <c r="F123" s="30">
        <f>(D123-D122)/D122</f>
        <v/>
      </c>
      <c r="G123" s="29">
        <f>E123-$H$27</f>
        <v/>
      </c>
      <c r="H123" s="29">
        <f>F123-$H$28</f>
        <v/>
      </c>
    </row>
    <row r="124" ht="15" customHeight="1">
      <c r="B124" s="26" t="n">
        <v>44368</v>
      </c>
      <c r="C124" s="27" t="n">
        <v>660.37</v>
      </c>
      <c r="D124" s="27" t="n">
        <v>18120.71</v>
      </c>
      <c r="E124" s="28">
        <f>(C124-C123)/C123</f>
        <v/>
      </c>
      <c r="F124" s="28">
        <f>(D124-D123)/D123</f>
        <v/>
      </c>
      <c r="G124" s="29">
        <f>E124-$H$27</f>
        <v/>
      </c>
      <c r="H124" s="29">
        <f>F124-$H$28</f>
        <v/>
      </c>
    </row>
    <row r="125" ht="15" customHeight="1">
      <c r="B125" s="24" t="n">
        <v>44369</v>
      </c>
      <c r="C125" s="25" t="n">
        <v>671.99</v>
      </c>
      <c r="D125" s="25" t="n">
        <v>17772.46</v>
      </c>
      <c r="E125" s="30">
        <f>(C125-C124)/C124</f>
        <v/>
      </c>
      <c r="F125" s="30">
        <f>(D125-D124)/D124</f>
        <v/>
      </c>
      <c r="G125" s="29">
        <f>E125-$H$27</f>
        <v/>
      </c>
      <c r="H125" s="29">
        <f>F125-$H$28</f>
        <v/>
      </c>
    </row>
    <row r="126" ht="15" customHeight="1">
      <c r="B126" s="26" t="n">
        <v>44370</v>
      </c>
      <c r="C126" s="27" t="n">
        <v>674.54</v>
      </c>
      <c r="D126" s="27" t="n">
        <v>17986.15</v>
      </c>
      <c r="E126" s="28">
        <f>(C126-C125)/C125</f>
        <v/>
      </c>
      <c r="F126" s="28">
        <f>(D126-D125)/D125</f>
        <v/>
      </c>
      <c r="G126" s="29">
        <f>E126-$H$27</f>
        <v/>
      </c>
      <c r="H126" s="29">
        <f>F126-$H$28</f>
        <v/>
      </c>
    </row>
    <row r="127" ht="15" customHeight="1">
      <c r="B127" s="24" t="n">
        <v>44371</v>
      </c>
      <c r="C127" s="25" t="n">
        <v>683.03</v>
      </c>
      <c r="D127" s="25" t="n">
        <v>18007.82</v>
      </c>
      <c r="E127" s="30">
        <f>(C127-C126)/C126</f>
        <v/>
      </c>
      <c r="F127" s="30">
        <f>(D127-D126)/D126</f>
        <v/>
      </c>
      <c r="G127" s="29">
        <f>E127-$H$27</f>
        <v/>
      </c>
      <c r="H127" s="29">
        <f>F127-$H$28</f>
        <v/>
      </c>
    </row>
    <row r="128" ht="15" customHeight="1">
      <c r="B128" s="26" t="n">
        <v>44372</v>
      </c>
      <c r="C128" s="27" t="n">
        <v>675.08</v>
      </c>
      <c r="D128" s="27" t="n">
        <v>18112.6</v>
      </c>
      <c r="E128" s="28">
        <f>(C128-C127)/C127</f>
        <v/>
      </c>
      <c r="F128" s="28">
        <f>(D128-D127)/D127</f>
        <v/>
      </c>
      <c r="G128" s="29">
        <f>E128-$H$27</f>
        <v/>
      </c>
      <c r="H128" s="29">
        <f>F128-$H$28</f>
        <v/>
      </c>
    </row>
    <row r="129" ht="15" customHeight="1">
      <c r="B129" s="24" t="n">
        <v>44375</v>
      </c>
      <c r="C129" s="25" t="n">
        <v>668.03</v>
      </c>
      <c r="D129" s="25" t="n">
        <v>18180.79</v>
      </c>
      <c r="E129" s="30">
        <f>(C129-C128)/C128</f>
        <v/>
      </c>
      <c r="F129" s="30">
        <f>(D129-D128)/D128</f>
        <v/>
      </c>
      <c r="G129" s="29">
        <f>E129-$H$27</f>
        <v/>
      </c>
      <c r="H129" s="29">
        <f>F129-$H$28</f>
        <v/>
      </c>
    </row>
    <row r="130" ht="15" customHeight="1">
      <c r="B130" s="26" t="n">
        <v>44376</v>
      </c>
      <c r="C130" s="27" t="n">
        <v>671.4299999999999</v>
      </c>
      <c r="D130" s="27" t="n">
        <v>17904.08</v>
      </c>
      <c r="E130" s="28">
        <f>(C130-C129)/C129</f>
        <v/>
      </c>
      <c r="F130" s="28">
        <f>(D130-D129)/D129</f>
        <v/>
      </c>
      <c r="G130" s="29">
        <f>E130-$H$27</f>
        <v/>
      </c>
      <c r="H130" s="29">
        <f>F130-$H$28</f>
        <v/>
      </c>
    </row>
    <row r="131" ht="15" customHeight="1">
      <c r="B131" s="24" t="n">
        <v>44377</v>
      </c>
      <c r="C131" s="25" t="n">
        <v>679.8099999999999</v>
      </c>
      <c r="D131" s="25" t="n">
        <v>18148.82</v>
      </c>
      <c r="E131" s="30">
        <f>(C131-C130)/C130</f>
        <v/>
      </c>
      <c r="F131" s="30">
        <f>(D131-D130)/D130</f>
        <v/>
      </c>
      <c r="G131" s="29">
        <f>E131-$H$27</f>
        <v/>
      </c>
      <c r="H131" s="29">
        <f>F131-$H$28</f>
        <v/>
      </c>
    </row>
    <row r="132" ht="15" customHeight="1">
      <c r="B132" s="26" t="n">
        <v>44378</v>
      </c>
      <c r="C132" s="27" t="n">
        <v>677.04</v>
      </c>
      <c r="D132" s="27" t="n">
        <v>18659.77</v>
      </c>
      <c r="E132" s="28">
        <f>(C132-C131)/C131</f>
        <v/>
      </c>
      <c r="F132" s="28">
        <f>(D132-D131)/D131</f>
        <v/>
      </c>
      <c r="G132" s="29">
        <f>E132-$H$27</f>
        <v/>
      </c>
      <c r="H132" s="29">
        <f>F132-$H$28</f>
        <v/>
      </c>
    </row>
    <row r="133" ht="15" customHeight="1">
      <c r="B133" s="24" t="n">
        <v>44379</v>
      </c>
      <c r="C133" s="25" t="n">
        <v>667.63</v>
      </c>
      <c r="D133" s="25" t="n">
        <v>18854.09</v>
      </c>
      <c r="E133" s="30">
        <f>(C133-C132)/C132</f>
        <v/>
      </c>
      <c r="F133" s="30">
        <f>(D133-D132)/D132</f>
        <v/>
      </c>
      <c r="G133" s="29">
        <f>E133-$H$27</f>
        <v/>
      </c>
      <c r="H133" s="29">
        <f>F133-$H$28</f>
        <v/>
      </c>
    </row>
    <row r="134" ht="15" customHeight="1">
      <c r="B134" s="26" t="n">
        <v>44382</v>
      </c>
      <c r="C134" s="27" t="n">
        <v>663.3200000000001</v>
      </c>
      <c r="D134" s="27" t="n">
        <v>19066.76</v>
      </c>
      <c r="E134" s="28">
        <f>(C134-C133)/C133</f>
        <v/>
      </c>
      <c r="F134" s="28">
        <f>(D134-D133)/D133</f>
        <v/>
      </c>
      <c r="G134" s="29">
        <f>E134-$H$27</f>
        <v/>
      </c>
      <c r="H134" s="29">
        <f>F134-$H$28</f>
        <v/>
      </c>
    </row>
    <row r="135" ht="15" customHeight="1">
      <c r="B135" s="24" t="n">
        <v>44383</v>
      </c>
      <c r="C135" s="25" t="n">
        <v>682.14</v>
      </c>
      <c r="D135" s="25" t="n">
        <v>19074.09</v>
      </c>
      <c r="E135" s="30">
        <f>(C135-C134)/C134</f>
        <v/>
      </c>
      <c r="F135" s="30">
        <f>(D135-D134)/D134</f>
        <v/>
      </c>
      <c r="G135" s="29">
        <f>E135-$H$27</f>
        <v/>
      </c>
      <c r="H135" s="29">
        <f>F135-$H$28</f>
        <v/>
      </c>
    </row>
    <row r="136" ht="15" customHeight="1">
      <c r="B136" s="26" t="n">
        <v>44384</v>
      </c>
      <c r="C136" s="27" t="n">
        <v>665.75</v>
      </c>
      <c r="D136" s="27" t="n">
        <v>19006.07</v>
      </c>
      <c r="E136" s="28">
        <f>(C136-C135)/C135</f>
        <v/>
      </c>
      <c r="F136" s="28">
        <f>(D136-D135)/D135</f>
        <v/>
      </c>
      <c r="G136" s="29">
        <f>E136-$H$27</f>
        <v/>
      </c>
      <c r="H136" s="29">
        <f>F136-$H$28</f>
        <v/>
      </c>
    </row>
    <row r="137" ht="15" customHeight="1">
      <c r="B137" s="24" t="n">
        <v>44385</v>
      </c>
      <c r="C137" s="25" t="n">
        <v>682.6799999999999</v>
      </c>
      <c r="D137" s="25" t="n">
        <v>19092.47</v>
      </c>
      <c r="E137" s="30">
        <f>(C137-C136)/C136</f>
        <v/>
      </c>
      <c r="F137" s="30">
        <f>(D137-D136)/D136</f>
        <v/>
      </c>
      <c r="G137" s="29">
        <f>E137-$H$27</f>
        <v/>
      </c>
      <c r="H137" s="29">
        <f>F137-$H$28</f>
        <v/>
      </c>
    </row>
    <row r="138" ht="15" customHeight="1">
      <c r="B138" s="26" t="n">
        <v>44386</v>
      </c>
      <c r="C138" s="27" t="n">
        <v>681.58</v>
      </c>
      <c r="D138" s="27" t="n">
        <v>19268.51</v>
      </c>
      <c r="E138" s="28">
        <f>(C138-C137)/C137</f>
        <v/>
      </c>
      <c r="F138" s="28">
        <f>(D138-D137)/D137</f>
        <v/>
      </c>
      <c r="G138" s="29">
        <f>E138-$H$27</f>
        <v/>
      </c>
      <c r="H138" s="29">
        <f>F138-$H$28</f>
        <v/>
      </c>
    </row>
    <row r="139" ht="15" customHeight="1">
      <c r="B139" s="24" t="n">
        <v>44389</v>
      </c>
      <c r="C139" s="25" t="n">
        <v>687.17</v>
      </c>
      <c r="D139" s="25" t="n">
        <v>19275.14</v>
      </c>
      <c r="E139" s="30">
        <f>(C139-C138)/C138</f>
        <v/>
      </c>
      <c r="F139" s="30">
        <f>(D139-D138)/D138</f>
        <v/>
      </c>
      <c r="G139" s="29">
        <f>E139-$H$27</f>
        <v/>
      </c>
      <c r="H139" s="29">
        <f>F139-$H$28</f>
        <v/>
      </c>
    </row>
    <row r="140" ht="15" customHeight="1">
      <c r="B140" s="26" t="n">
        <v>44390</v>
      </c>
      <c r="C140" s="27" t="n">
        <v>683.02</v>
      </c>
      <c r="D140" s="27" t="n">
        <v>19680.22</v>
      </c>
      <c r="E140" s="28">
        <f>(C140-C139)/C139</f>
        <v/>
      </c>
      <c r="F140" s="28">
        <f>(D140-D139)/D139</f>
        <v/>
      </c>
      <c r="G140" s="29">
        <f>E140-$H$27</f>
        <v/>
      </c>
      <c r="H140" s="29">
        <f>F140-$H$28</f>
        <v/>
      </c>
    </row>
    <row r="141" ht="15" customHeight="1">
      <c r="B141" s="24" t="n">
        <v>44391</v>
      </c>
      <c r="C141" s="25" t="n">
        <v>671.99</v>
      </c>
      <c r="D141" s="25" t="n">
        <v>19925.36</v>
      </c>
      <c r="E141" s="30">
        <f>(C141-C140)/C140</f>
        <v/>
      </c>
      <c r="F141" s="30">
        <f>(D141-D140)/D140</f>
        <v/>
      </c>
      <c r="G141" s="29">
        <f>E141-$H$27</f>
        <v/>
      </c>
      <c r="H141" s="29">
        <f>F141-$H$28</f>
        <v/>
      </c>
    </row>
    <row r="142" ht="15" customHeight="1">
      <c r="B142" s="26" t="n">
        <v>44392</v>
      </c>
      <c r="C142" s="27" t="n">
        <v>671.29</v>
      </c>
      <c r="D142" s="27" t="n">
        <v>19867.85</v>
      </c>
      <c r="E142" s="28">
        <f>(C142-C141)/C141</f>
        <v/>
      </c>
      <c r="F142" s="28">
        <f>(D142-D141)/D141</f>
        <v/>
      </c>
      <c r="G142" s="29">
        <f>E142-$H$27</f>
        <v/>
      </c>
      <c r="H142" s="29">
        <f>F142-$H$28</f>
        <v/>
      </c>
    </row>
    <row r="143" ht="15" customHeight="1">
      <c r="B143" s="24" t="n">
        <v>44393</v>
      </c>
      <c r="C143" s="25" t="n">
        <v>673.47</v>
      </c>
      <c r="D143" s="25" t="n">
        <v>19710.94</v>
      </c>
      <c r="E143" s="30">
        <f>(C143-C142)/C142</f>
        <v/>
      </c>
      <c r="F143" s="30">
        <f>(D143-D142)/D142</f>
        <v/>
      </c>
      <c r="G143" s="29">
        <f>E143-$H$27</f>
        <v/>
      </c>
      <c r="H143" s="29">
        <f>F143-$H$28</f>
        <v/>
      </c>
    </row>
    <row r="144" ht="15" customHeight="1">
      <c r="B144" s="26" t="n">
        <v>44396</v>
      </c>
      <c r="C144" s="27" t="n">
        <v>688.38</v>
      </c>
      <c r="D144" s="27" t="n">
        <v>19831.18</v>
      </c>
      <c r="E144" s="28">
        <f>(C144-C143)/C143</f>
        <v/>
      </c>
      <c r="F144" s="28">
        <f>(D144-D143)/D143</f>
        <v/>
      </c>
      <c r="G144" s="29">
        <f>E144-$H$27</f>
        <v/>
      </c>
      <c r="H144" s="29">
        <f>F144-$H$28</f>
        <v/>
      </c>
    </row>
    <row r="145" ht="15" customHeight="1">
      <c r="B145" s="24" t="n">
        <v>44397</v>
      </c>
      <c r="C145" s="25" t="n">
        <v>703.53</v>
      </c>
      <c r="D145" s="25" t="n">
        <v>19771.32</v>
      </c>
      <c r="E145" s="30">
        <f>(C145-C144)/C144</f>
        <v/>
      </c>
      <c r="F145" s="30">
        <f>(D145-D144)/D144</f>
        <v/>
      </c>
      <c r="G145" s="29">
        <f>E145-$H$27</f>
        <v/>
      </c>
      <c r="H145" s="29">
        <f>F145-$H$28</f>
        <v/>
      </c>
    </row>
    <row r="146" ht="15" customHeight="1">
      <c r="B146" s="26" t="n">
        <v>44398</v>
      </c>
      <c r="C146" s="27" t="n">
        <v>707.34</v>
      </c>
      <c r="D146" s="27" t="n">
        <v>19523.23</v>
      </c>
      <c r="E146" s="28">
        <f>(C146-C145)/C145</f>
        <v/>
      </c>
      <c r="F146" s="28">
        <f>(D146-D145)/D145</f>
        <v/>
      </c>
      <c r="G146" s="29">
        <f>E146-$H$27</f>
        <v/>
      </c>
      <c r="H146" s="29">
        <f>F146-$H$28</f>
        <v/>
      </c>
    </row>
    <row r="147" ht="15" customHeight="1">
      <c r="B147" s="24" t="n">
        <v>44399</v>
      </c>
      <c r="C147" s="25" t="n">
        <v>709.3099999999999</v>
      </c>
      <c r="D147" s="25" t="n">
        <v>19518.36</v>
      </c>
      <c r="E147" s="30">
        <f>(C147-C146)/C146</f>
        <v/>
      </c>
      <c r="F147" s="30">
        <f>(D147-D146)/D146</f>
        <v/>
      </c>
      <c r="G147" s="29">
        <f>E147-$H$27</f>
        <v/>
      </c>
      <c r="H147" s="29">
        <f>F147-$H$28</f>
        <v/>
      </c>
    </row>
    <row r="148" ht="15" customHeight="1">
      <c r="B148" s="26" t="n">
        <v>44400</v>
      </c>
      <c r="C148" s="27" t="n">
        <v>724.52</v>
      </c>
      <c r="D148" s="27" t="n">
        <v>19675.8</v>
      </c>
      <c r="E148" s="28">
        <f>(C148-C147)/C147</f>
        <v/>
      </c>
      <c r="F148" s="28">
        <f>(D148-D147)/D147</f>
        <v/>
      </c>
      <c r="G148" s="29">
        <f>E148-$H$27</f>
        <v/>
      </c>
      <c r="H148" s="29">
        <f>F148-$H$28</f>
        <v/>
      </c>
    </row>
    <row r="149" ht="15" customHeight="1">
      <c r="B149" s="24" t="n">
        <v>44403</v>
      </c>
      <c r="C149" s="25" t="n">
        <v>694.58</v>
      </c>
      <c r="D149" s="25" t="n">
        <v>19713.71</v>
      </c>
      <c r="E149" s="30">
        <f>(C149-C148)/C148</f>
        <v/>
      </c>
      <c r="F149" s="30">
        <f>(D149-D148)/D148</f>
        <v/>
      </c>
      <c r="G149" s="29">
        <f>E149-$H$27</f>
        <v/>
      </c>
      <c r="H149" s="29">
        <f>F149-$H$28</f>
        <v/>
      </c>
    </row>
    <row r="150" ht="15" customHeight="1">
      <c r="B150" s="26" t="n">
        <v>44404</v>
      </c>
      <c r="C150" s="27" t="n">
        <v>713.67</v>
      </c>
      <c r="D150" s="27" t="n">
        <v>19363.21</v>
      </c>
      <c r="E150" s="28">
        <f>(C150-C149)/C149</f>
        <v/>
      </c>
      <c r="F150" s="28">
        <f>(D150-D149)/D149</f>
        <v/>
      </c>
      <c r="G150" s="29">
        <f>E150-$H$27</f>
        <v/>
      </c>
      <c r="H150" s="29">
        <f>F150-$H$28</f>
        <v/>
      </c>
    </row>
    <row r="151" ht="15" customHeight="1">
      <c r="B151" s="24" t="n">
        <v>44405</v>
      </c>
      <c r="C151" s="25" t="n">
        <v>685.88</v>
      </c>
      <c r="D151" s="25" t="n">
        <v>19387.22</v>
      </c>
      <c r="E151" s="30">
        <f>(C151-C150)/C150</f>
        <v/>
      </c>
      <c r="F151" s="30">
        <f>(D151-D150)/D150</f>
        <v/>
      </c>
      <c r="G151" s="29">
        <f>E151-$H$27</f>
        <v/>
      </c>
      <c r="H151" s="29">
        <f>F151-$H$28</f>
        <v/>
      </c>
    </row>
    <row r="152" ht="15" customHeight="1">
      <c r="B152" s="26" t="n">
        <v>44406</v>
      </c>
      <c r="C152" s="27" t="n">
        <v>680</v>
      </c>
      <c r="D152" s="27" t="n">
        <v>19392.86</v>
      </c>
      <c r="E152" s="28">
        <f>(C152-C151)/C151</f>
        <v/>
      </c>
      <c r="F152" s="28">
        <f>(D152-D151)/D151</f>
        <v/>
      </c>
      <c r="G152" s="29">
        <f>E152-$H$27</f>
        <v/>
      </c>
      <c r="H152" s="29">
        <f>F152-$H$28</f>
        <v/>
      </c>
    </row>
    <row r="153" ht="15" customHeight="1">
      <c r="B153" s="24" t="n">
        <v>44407</v>
      </c>
      <c r="C153" s="25" t="n">
        <v>681.92</v>
      </c>
      <c r="D153" s="25" t="n">
        <v>19440.39</v>
      </c>
      <c r="E153" s="30">
        <f>(C153-C152)/C152</f>
        <v/>
      </c>
      <c r="F153" s="30">
        <f>(D153-D152)/D152</f>
        <v/>
      </c>
      <c r="G153" s="29">
        <f>E153-$H$27</f>
        <v/>
      </c>
      <c r="H153" s="29">
        <f>F153-$H$28</f>
        <v/>
      </c>
    </row>
    <row r="154" ht="15" customHeight="1">
      <c r="B154" s="26" t="n">
        <v>44410</v>
      </c>
      <c r="C154" s="27" t="n">
        <v>681.22</v>
      </c>
      <c r="D154" s="27" t="n">
        <v>19106.85</v>
      </c>
      <c r="E154" s="28">
        <f>(C154-C153)/C153</f>
        <v/>
      </c>
      <c r="F154" s="28">
        <f>(D154-D153)/D153</f>
        <v/>
      </c>
      <c r="G154" s="29">
        <f>E154-$H$27</f>
        <v/>
      </c>
      <c r="H154" s="29">
        <f>F154-$H$28</f>
        <v/>
      </c>
    </row>
    <row r="155" ht="15" customHeight="1">
      <c r="B155" s="24" t="n">
        <v>44411</v>
      </c>
      <c r="C155" s="25" t="n">
        <v>683.87</v>
      </c>
      <c r="D155" s="25" t="n">
        <v>19388.52</v>
      </c>
      <c r="E155" s="30">
        <f>(C155-C154)/C154</f>
        <v/>
      </c>
      <c r="F155" s="30">
        <f>(D155-D154)/D154</f>
        <v/>
      </c>
      <c r="G155" s="29">
        <f>E155-$H$27</f>
        <v/>
      </c>
      <c r="H155" s="29">
        <f>F155-$H$28</f>
        <v/>
      </c>
    </row>
    <row r="156" ht="15" customHeight="1">
      <c r="B156" s="26" t="n">
        <v>44412</v>
      </c>
      <c r="C156" s="27" t="n">
        <v>695.26</v>
      </c>
      <c r="D156" s="27" t="n">
        <v>19701.95</v>
      </c>
      <c r="E156" s="28">
        <f>(C156-C155)/C155</f>
        <v/>
      </c>
      <c r="F156" s="28">
        <f>(D156-D155)/D155</f>
        <v/>
      </c>
      <c r="G156" s="29">
        <f>E156-$H$27</f>
        <v/>
      </c>
      <c r="H156" s="29">
        <f>F156-$H$28</f>
        <v/>
      </c>
    </row>
    <row r="157" ht="15" customHeight="1">
      <c r="B157" s="24" t="n">
        <v>44413</v>
      </c>
      <c r="C157" s="25" t="n">
        <v>716.41</v>
      </c>
      <c r="D157" s="25" t="n">
        <v>19397.39</v>
      </c>
      <c r="E157" s="30">
        <f>(C157-C156)/C156</f>
        <v/>
      </c>
      <c r="F157" s="30">
        <f>(D157-D156)/D156</f>
        <v/>
      </c>
      <c r="G157" s="29">
        <f>E157-$H$27</f>
        <v/>
      </c>
      <c r="H157" s="29">
        <f>F157-$H$28</f>
        <v/>
      </c>
    </row>
    <row r="158" ht="15" customHeight="1">
      <c r="B158" s="26" t="n">
        <v>44414</v>
      </c>
      <c r="C158" s="27" t="n">
        <v>732.4400000000001</v>
      </c>
      <c r="D158" s="27" t="n">
        <v>19629.56</v>
      </c>
      <c r="E158" s="28">
        <f>(C158-C157)/C157</f>
        <v/>
      </c>
      <c r="F158" s="28">
        <f>(D158-D157)/D157</f>
        <v/>
      </c>
      <c r="G158" s="29">
        <f>E158-$H$27</f>
        <v/>
      </c>
      <c r="H158" s="29">
        <f>F158-$H$28</f>
        <v/>
      </c>
    </row>
    <row r="159" ht="15" customHeight="1">
      <c r="B159" s="24" t="n">
        <v>44417</v>
      </c>
      <c r="C159" s="25" t="n">
        <v>734.26</v>
      </c>
      <c r="D159" s="25" t="n">
        <v>19766.34</v>
      </c>
      <c r="E159" s="30">
        <f>(C159-C158)/C158</f>
        <v/>
      </c>
      <c r="F159" s="30">
        <f>(D159-D158)/D158</f>
        <v/>
      </c>
      <c r="G159" s="29">
        <f>E159-$H$27</f>
        <v/>
      </c>
      <c r="H159" s="29">
        <f>F159-$H$28</f>
        <v/>
      </c>
    </row>
    <row r="160" ht="15" customHeight="1">
      <c r="B160" s="26" t="n">
        <v>44418</v>
      </c>
      <c r="C160" s="27" t="n">
        <v>739.14</v>
      </c>
      <c r="D160" s="27" t="n">
        <v>19440.28</v>
      </c>
      <c r="E160" s="28">
        <f>(C160-C159)/C159</f>
        <v/>
      </c>
      <c r="F160" s="28">
        <f>(D160-D159)/D159</f>
        <v/>
      </c>
      <c r="G160" s="29">
        <f>E160-$H$27</f>
        <v/>
      </c>
      <c r="H160" s="29">
        <f>F160-$H$28</f>
        <v/>
      </c>
    </row>
    <row r="161" ht="15" customHeight="1">
      <c r="B161" s="24" t="n">
        <v>44419</v>
      </c>
      <c r="C161" s="25" t="n">
        <v>727.89</v>
      </c>
      <c r="D161" s="25" t="n">
        <v>19787.11</v>
      </c>
      <c r="E161" s="30">
        <f>(C161-C160)/C160</f>
        <v/>
      </c>
      <c r="F161" s="30">
        <f>(D161-D160)/D160</f>
        <v/>
      </c>
      <c r="G161" s="29">
        <f>E161-$H$27</f>
        <v/>
      </c>
      <c r="H161" s="29">
        <f>F161-$H$28</f>
        <v/>
      </c>
    </row>
    <row r="162" ht="15" customHeight="1">
      <c r="B162" s="26" t="n">
        <v>44420</v>
      </c>
      <c r="C162" s="27" t="n">
        <v>724.67</v>
      </c>
      <c r="D162" s="27" t="n">
        <v>20105.59</v>
      </c>
      <c r="E162" s="28">
        <f>(C162-C161)/C161</f>
        <v/>
      </c>
      <c r="F162" s="28">
        <f>(D162-D161)/D161</f>
        <v/>
      </c>
      <c r="G162" s="29">
        <f>E162-$H$27</f>
        <v/>
      </c>
      <c r="H162" s="29">
        <f>F162-$H$28</f>
        <v/>
      </c>
    </row>
    <row r="163" ht="15" customHeight="1">
      <c r="B163" s="24" t="n">
        <v>44421</v>
      </c>
      <c r="C163" s="25" t="n">
        <v>735.15</v>
      </c>
      <c r="D163" s="25" t="n">
        <v>19737.47</v>
      </c>
      <c r="E163" s="30">
        <f>(C163-C162)/C162</f>
        <v/>
      </c>
      <c r="F163" s="30">
        <f>(D163-D162)/D162</f>
        <v/>
      </c>
      <c r="G163" s="29">
        <f>E163-$H$27</f>
        <v/>
      </c>
      <c r="H163" s="29">
        <f>F163-$H$28</f>
        <v/>
      </c>
    </row>
    <row r="164" ht="15" customHeight="1">
      <c r="B164" s="26" t="n">
        <v>44424</v>
      </c>
      <c r="C164" s="27" t="n">
        <v>751.09</v>
      </c>
      <c r="D164" s="27" t="n">
        <v>19635.43</v>
      </c>
      <c r="E164" s="28">
        <f>(C164-C163)/C163</f>
        <v/>
      </c>
      <c r="F164" s="28">
        <f>(D164-D163)/D163</f>
        <v/>
      </c>
      <c r="G164" s="29">
        <f>E164-$H$27</f>
        <v/>
      </c>
      <c r="H164" s="29">
        <f>F164-$H$28</f>
        <v/>
      </c>
    </row>
    <row r="165" ht="15" customHeight="1">
      <c r="B165" s="24" t="n">
        <v>44425</v>
      </c>
      <c r="C165" s="25" t="n">
        <v>734.3099999999999</v>
      </c>
      <c r="D165" s="25" t="n">
        <v>19752.28</v>
      </c>
      <c r="E165" s="30">
        <f>(C165-C164)/C164</f>
        <v/>
      </c>
      <c r="F165" s="30">
        <f>(D165-D164)/D164</f>
        <v/>
      </c>
      <c r="G165" s="29">
        <f>E165-$H$27</f>
        <v/>
      </c>
      <c r="H165" s="29">
        <f>F165-$H$28</f>
        <v/>
      </c>
    </row>
    <row r="166" ht="15" customHeight="1">
      <c r="B166" s="26" t="n">
        <v>44426</v>
      </c>
      <c r="C166" s="27" t="n">
        <v>757.15</v>
      </c>
      <c r="D166" s="27" t="n">
        <v>19537.73</v>
      </c>
      <c r="E166" s="28">
        <f>(C166-C165)/C165</f>
        <v/>
      </c>
      <c r="F166" s="28">
        <f>(D166-D165)/D165</f>
        <v/>
      </c>
      <c r="G166" s="29">
        <f>E166-$H$27</f>
        <v/>
      </c>
      <c r="H166" s="29">
        <f>F166-$H$28</f>
        <v/>
      </c>
    </row>
    <row r="167" ht="15" customHeight="1">
      <c r="B167" s="24" t="n">
        <v>44427</v>
      </c>
      <c r="C167" s="25" t="n">
        <v>750.1799999999999</v>
      </c>
      <c r="D167" s="25" t="n">
        <v>19342.15</v>
      </c>
      <c r="E167" s="30">
        <f>(C167-C166)/C166</f>
        <v/>
      </c>
      <c r="F167" s="30">
        <f>(D167-D166)/D166</f>
        <v/>
      </c>
      <c r="G167" s="29">
        <f>E167-$H$27</f>
        <v/>
      </c>
      <c r="H167" s="29">
        <f>F167-$H$28</f>
        <v/>
      </c>
    </row>
    <row r="168" ht="15" customHeight="1">
      <c r="B168" s="26" t="n">
        <v>44428</v>
      </c>
      <c r="C168" s="27" t="n">
        <v>742.26</v>
      </c>
      <c r="D168" s="27" t="n">
        <v>19431.91</v>
      </c>
      <c r="E168" s="28">
        <f>(C168-C167)/C167</f>
        <v/>
      </c>
      <c r="F168" s="28">
        <f>(D168-D167)/D167</f>
        <v/>
      </c>
      <c r="G168" s="29">
        <f>E168-$H$27</f>
        <v/>
      </c>
      <c r="H168" s="29">
        <f>F168-$H$28</f>
        <v/>
      </c>
    </row>
    <row r="169" ht="15" customHeight="1">
      <c r="B169" s="24" t="n">
        <v>44431</v>
      </c>
      <c r="C169" s="25" t="n">
        <v>731.8</v>
      </c>
      <c r="D169" s="25" t="n">
        <v>19434.28</v>
      </c>
      <c r="E169" s="30">
        <f>(C169-C168)/C168</f>
        <v/>
      </c>
      <c r="F169" s="30">
        <f>(D169-D168)/D168</f>
        <v/>
      </c>
      <c r="G169" s="29">
        <f>E169-$H$27</f>
        <v/>
      </c>
      <c r="H169" s="29">
        <f>F169-$H$28</f>
        <v/>
      </c>
    </row>
    <row r="170" ht="15" customHeight="1">
      <c r="B170" s="26" t="n">
        <v>44432</v>
      </c>
      <c r="C170" s="27" t="n">
        <v>736.35</v>
      </c>
      <c r="D170" s="27" t="n">
        <v>19270.79</v>
      </c>
      <c r="E170" s="28">
        <f>(C170-C169)/C169</f>
        <v/>
      </c>
      <c r="F170" s="28">
        <f>(D170-D169)/D169</f>
        <v/>
      </c>
      <c r="G170" s="29">
        <f>E170-$H$27</f>
        <v/>
      </c>
      <c r="H170" s="29">
        <f>F170-$H$28</f>
        <v/>
      </c>
    </row>
    <row r="171" ht="15" customHeight="1">
      <c r="B171" s="24" t="n">
        <v>44433</v>
      </c>
      <c r="C171" s="25" t="n">
        <v>753.63</v>
      </c>
      <c r="D171" s="25" t="n">
        <v>19269.13</v>
      </c>
      <c r="E171" s="30">
        <f>(C171-C170)/C170</f>
        <v/>
      </c>
      <c r="F171" s="30">
        <f>(D171-D170)/D170</f>
        <v/>
      </c>
      <c r="G171" s="29">
        <f>E171-$H$27</f>
        <v/>
      </c>
      <c r="H171" s="29">
        <f>F171-$H$28</f>
        <v/>
      </c>
    </row>
    <row r="172" ht="15" customHeight="1">
      <c r="B172" s="26" t="n">
        <v>44434</v>
      </c>
      <c r="C172" s="27" t="n">
        <v>729.65</v>
      </c>
      <c r="D172" s="27" t="n">
        <v>19333.41</v>
      </c>
      <c r="E172" s="28">
        <f>(C172-C171)/C171</f>
        <v/>
      </c>
      <c r="F172" s="28">
        <f>(D172-D171)/D171</f>
        <v/>
      </c>
      <c r="G172" s="29">
        <f>E172-$H$27</f>
        <v/>
      </c>
      <c r="H172" s="29">
        <f>F172-$H$28</f>
        <v/>
      </c>
    </row>
    <row r="173" ht="15" customHeight="1">
      <c r="B173" s="24" t="n">
        <v>44435</v>
      </c>
      <c r="C173" s="25" t="n">
        <v>738.5</v>
      </c>
      <c r="D173" s="25" t="n">
        <v>19554.35</v>
      </c>
      <c r="E173" s="30">
        <f>(C173-C172)/C172</f>
        <v/>
      </c>
      <c r="F173" s="30">
        <f>(D173-D172)/D172</f>
        <v/>
      </c>
      <c r="G173" s="29">
        <f>E173-$H$27</f>
        <v/>
      </c>
      <c r="H173" s="29">
        <f>F173-$H$28</f>
        <v/>
      </c>
    </row>
    <row r="174" ht="15" customHeight="1">
      <c r="B174" s="26" t="n">
        <v>44438</v>
      </c>
      <c r="C174" s="27" t="n">
        <v>761.6900000000001</v>
      </c>
      <c r="D174" s="27" t="n">
        <v>20009.5</v>
      </c>
      <c r="E174" s="28">
        <f>(C174-C173)/C173</f>
        <v/>
      </c>
      <c r="F174" s="28">
        <f>(D174-D173)/D173</f>
        <v/>
      </c>
      <c r="G174" s="29">
        <f>E174-$H$27</f>
        <v/>
      </c>
      <c r="H174" s="29">
        <f>F174-$H$28</f>
        <v/>
      </c>
    </row>
    <row r="175" ht="15" customHeight="1">
      <c r="B175" s="24" t="n">
        <v>44439</v>
      </c>
      <c r="C175" s="25" t="n">
        <v>767.4400000000001</v>
      </c>
      <c r="D175" s="25" t="n">
        <v>19971.19</v>
      </c>
      <c r="E175" s="30">
        <f>(C175-C174)/C174</f>
        <v/>
      </c>
      <c r="F175" s="30">
        <f>(D175-D174)/D174</f>
        <v/>
      </c>
      <c r="G175" s="29">
        <f>E175-$H$27</f>
        <v/>
      </c>
      <c r="H175" s="29">
        <f>F175-$H$28</f>
        <v/>
      </c>
    </row>
    <row r="176" ht="15" customHeight="1">
      <c r="B176" s="26" t="n">
        <v>44440</v>
      </c>
      <c r="C176" s="27" t="n">
        <v>774.25</v>
      </c>
      <c r="D176" s="27" t="n">
        <v>19703.19</v>
      </c>
      <c r="E176" s="28">
        <f>(C176-C175)/C175</f>
        <v/>
      </c>
      <c r="F176" s="28">
        <f>(D176-D175)/D175</f>
        <v/>
      </c>
      <c r="G176" s="29">
        <f>E176-$H$27</f>
        <v/>
      </c>
      <c r="H176" s="29">
        <f>F176-$H$28</f>
        <v/>
      </c>
    </row>
    <row r="177" ht="15" customHeight="1">
      <c r="B177" s="24" t="n">
        <v>44441</v>
      </c>
      <c r="C177" s="25" t="n">
        <v>766.09</v>
      </c>
      <c r="D177" s="25" t="n">
        <v>20180.25</v>
      </c>
      <c r="E177" s="30">
        <f>(C177-C176)/C176</f>
        <v/>
      </c>
      <c r="F177" s="30">
        <f>(D177-D176)/D176</f>
        <v/>
      </c>
      <c r="G177" s="29">
        <f>E177-$H$27</f>
        <v/>
      </c>
      <c r="H177" s="29">
        <f>F177-$H$28</f>
        <v/>
      </c>
    </row>
    <row r="178" ht="15" customHeight="1">
      <c r="B178" s="26" t="n">
        <v>44442</v>
      </c>
      <c r="C178" s="27" t="n">
        <v>775.3</v>
      </c>
      <c r="D178" s="27" t="n">
        <v>20344.32</v>
      </c>
      <c r="E178" s="28">
        <f>(C178-C177)/C177</f>
        <v/>
      </c>
      <c r="F178" s="28">
        <f>(D178-D177)/D177</f>
        <v/>
      </c>
      <c r="G178" s="29">
        <f>E178-$H$27</f>
        <v/>
      </c>
      <c r="H178" s="29">
        <f>F178-$H$28</f>
        <v/>
      </c>
    </row>
    <row r="179" ht="15" customHeight="1">
      <c r="B179" s="24" t="n">
        <v>44445</v>
      </c>
      <c r="C179" s="25" t="n">
        <v>791.0700000000001</v>
      </c>
      <c r="D179" s="25" t="n">
        <v>20776.55</v>
      </c>
      <c r="E179" s="30">
        <f>(C179-C178)/C178</f>
        <v/>
      </c>
      <c r="F179" s="30">
        <f>(D179-D178)/D178</f>
        <v/>
      </c>
      <c r="G179" s="29">
        <f>E179-$H$27</f>
        <v/>
      </c>
      <c r="H179" s="29">
        <f>F179-$H$28</f>
        <v/>
      </c>
    </row>
    <row r="180" ht="15" customHeight="1">
      <c r="B180" s="26" t="n">
        <v>44446</v>
      </c>
      <c r="C180" s="27" t="n">
        <v>787.41</v>
      </c>
      <c r="D180" s="27" t="n">
        <v>20558.38</v>
      </c>
      <c r="E180" s="28">
        <f>(C180-C179)/C179</f>
        <v/>
      </c>
      <c r="F180" s="28">
        <f>(D180-D179)/D179</f>
        <v/>
      </c>
      <c r="G180" s="29">
        <f>E180-$H$27</f>
        <v/>
      </c>
      <c r="H180" s="29">
        <f>F180-$H$28</f>
        <v/>
      </c>
    </row>
    <row r="181" ht="15" customHeight="1">
      <c r="B181" s="24" t="n">
        <v>44447</v>
      </c>
      <c r="C181" s="25" t="n">
        <v>784.84</v>
      </c>
      <c r="D181" s="25" t="n">
        <v>20714.97</v>
      </c>
      <c r="E181" s="30">
        <f>(C181-C180)/C180</f>
        <v/>
      </c>
      <c r="F181" s="30">
        <f>(D181-D180)/D180</f>
        <v/>
      </c>
      <c r="G181" s="29">
        <f>E181-$H$27</f>
        <v/>
      </c>
      <c r="H181" s="29">
        <f>F181-$H$28</f>
        <v/>
      </c>
    </row>
    <row r="182" ht="15" customHeight="1">
      <c r="B182" s="26" t="n">
        <v>44448</v>
      </c>
      <c r="C182" s="27" t="n">
        <v>773.23</v>
      </c>
      <c r="D182" s="27" t="n">
        <v>20982.84</v>
      </c>
      <c r="E182" s="28">
        <f>(C182-C181)/C181</f>
        <v/>
      </c>
      <c r="F182" s="28">
        <f>(D182-D181)/D181</f>
        <v/>
      </c>
      <c r="G182" s="29">
        <f>E182-$H$27</f>
        <v/>
      </c>
      <c r="H182" s="29">
        <f>F182-$H$28</f>
        <v/>
      </c>
    </row>
    <row r="183" ht="15" customHeight="1">
      <c r="B183" s="24" t="n">
        <v>44449</v>
      </c>
      <c r="C183" s="25" t="n">
        <v>766.91</v>
      </c>
      <c r="D183" s="25" t="n">
        <v>20872.99</v>
      </c>
      <c r="E183" s="30">
        <f>(C183-C182)/C182</f>
        <v/>
      </c>
      <c r="F183" s="30">
        <f>(D183-D182)/D182</f>
        <v/>
      </c>
      <c r="G183" s="29">
        <f>E183-$H$27</f>
        <v/>
      </c>
      <c r="H183" s="29">
        <f>F183-$H$28</f>
        <v/>
      </c>
    </row>
    <row r="184" ht="15" customHeight="1">
      <c r="B184" s="26" t="n">
        <v>44452</v>
      </c>
      <c r="C184" s="27" t="n">
        <v>758.54</v>
      </c>
      <c r="D184" s="27" t="n">
        <v>20644.64</v>
      </c>
      <c r="E184" s="28">
        <f>(C184-C183)/C183</f>
        <v/>
      </c>
      <c r="F184" s="28">
        <f>(D184-D183)/D183</f>
        <v/>
      </c>
      <c r="G184" s="29">
        <f>E184-$H$27</f>
        <v/>
      </c>
      <c r="H184" s="29">
        <f>F184-$H$28</f>
        <v/>
      </c>
    </row>
    <row r="185" ht="15" customHeight="1">
      <c r="B185" s="24" t="n">
        <v>44453</v>
      </c>
      <c r="C185" s="25" t="n">
        <v>774.85</v>
      </c>
      <c r="D185" s="25" t="n">
        <v>20926.88</v>
      </c>
      <c r="E185" s="30">
        <f>(C185-C184)/C184</f>
        <v/>
      </c>
      <c r="F185" s="30">
        <f>(D185-D184)/D184</f>
        <v/>
      </c>
      <c r="G185" s="29">
        <f>E185-$H$27</f>
        <v/>
      </c>
      <c r="H185" s="29">
        <f>F185-$H$28</f>
        <v/>
      </c>
    </row>
    <row r="186" ht="15" customHeight="1">
      <c r="B186" s="26" t="n">
        <v>44454</v>
      </c>
      <c r="C186" s="27" t="n">
        <v>782.48</v>
      </c>
      <c r="D186" s="27" t="n">
        <v>20903.43</v>
      </c>
      <c r="E186" s="28">
        <f>(C186-C185)/C185</f>
        <v/>
      </c>
      <c r="F186" s="28">
        <f>(D186-D185)/D185</f>
        <v/>
      </c>
      <c r="G186" s="29">
        <f>E186-$H$27</f>
        <v/>
      </c>
      <c r="H186" s="29">
        <f>F186-$H$28</f>
        <v/>
      </c>
    </row>
    <row r="187" ht="15" customHeight="1">
      <c r="B187" s="24" t="n">
        <v>44455</v>
      </c>
      <c r="C187" s="25" t="n">
        <v>782.83</v>
      </c>
      <c r="D187" s="25" t="n">
        <v>20830.47</v>
      </c>
      <c r="E187" s="30">
        <f>(C187-C186)/C186</f>
        <v/>
      </c>
      <c r="F187" s="30">
        <f>(D187-D186)/D186</f>
        <v/>
      </c>
      <c r="G187" s="29">
        <f>E187-$H$27</f>
        <v/>
      </c>
      <c r="H187" s="29">
        <f>F187-$H$28</f>
        <v/>
      </c>
    </row>
    <row r="188" ht="15" customHeight="1">
      <c r="B188" s="26" t="n">
        <v>44456</v>
      </c>
      <c r="C188" s="27" t="n">
        <v>832.12</v>
      </c>
      <c r="D188" s="27" t="n">
        <v>20756.97</v>
      </c>
      <c r="E188" s="28">
        <f>(C188-C187)/C187</f>
        <v/>
      </c>
      <c r="F188" s="28">
        <f>(D188-D187)/D187</f>
        <v/>
      </c>
      <c r="G188" s="29">
        <f>E188-$H$27</f>
        <v/>
      </c>
      <c r="H188" s="29">
        <f>F188-$H$28</f>
        <v/>
      </c>
    </row>
    <row r="189" ht="15" customHeight="1">
      <c r="B189" s="24" t="n">
        <v>44459</v>
      </c>
      <c r="C189" s="25" t="n">
        <v>823.87</v>
      </c>
      <c r="D189" s="25" t="n">
        <v>20994.63</v>
      </c>
      <c r="E189" s="30">
        <f>(C189-C188)/C188</f>
        <v/>
      </c>
      <c r="F189" s="30">
        <f>(D189-D188)/D188</f>
        <v/>
      </c>
      <c r="G189" s="29">
        <f>E189-$H$27</f>
        <v/>
      </c>
      <c r="H189" s="29">
        <f>F189-$H$28</f>
        <v/>
      </c>
    </row>
    <row r="190" ht="15" customHeight="1">
      <c r="B190" s="26" t="n">
        <v>44460</v>
      </c>
      <c r="C190" s="27" t="n">
        <v>836.25</v>
      </c>
      <c r="D190" s="27" t="n">
        <v>21040.88</v>
      </c>
      <c r="E190" s="28">
        <f>(C190-C189)/C189</f>
        <v/>
      </c>
      <c r="F190" s="28">
        <f>(D190-D189)/D189</f>
        <v/>
      </c>
      <c r="G190" s="29">
        <f>E190-$H$27</f>
        <v/>
      </c>
      <c r="H190" s="29">
        <f>F190-$H$28</f>
        <v/>
      </c>
    </row>
    <row r="191" ht="15" customHeight="1">
      <c r="B191" s="24" t="n">
        <v>44461</v>
      </c>
      <c r="C191" s="25" t="n">
        <v>846.88</v>
      </c>
      <c r="D191" s="25" t="n">
        <v>20741.29</v>
      </c>
      <c r="E191" s="30">
        <f>(C191-C190)/C190</f>
        <v/>
      </c>
      <c r="F191" s="30">
        <f>(D191-D190)/D190</f>
        <v/>
      </c>
      <c r="G191" s="29">
        <f>E191-$H$27</f>
        <v/>
      </c>
      <c r="H191" s="29">
        <f>F191-$H$28</f>
        <v/>
      </c>
    </row>
    <row r="192" ht="15" customHeight="1">
      <c r="B192" s="26" t="n">
        <v>44462</v>
      </c>
      <c r="C192" s="27" t="n">
        <v>837.96</v>
      </c>
      <c r="D192" s="27" t="n">
        <v>20947.58</v>
      </c>
      <c r="E192" s="28">
        <f>(C192-C191)/C191</f>
        <v/>
      </c>
      <c r="F192" s="28">
        <f>(D192-D191)/D191</f>
        <v/>
      </c>
      <c r="G192" s="29">
        <f>E192-$H$27</f>
        <v/>
      </c>
      <c r="H192" s="29">
        <f>F192-$H$28</f>
        <v/>
      </c>
    </row>
    <row r="193" ht="15" customHeight="1">
      <c r="B193" s="24" t="n">
        <v>44463</v>
      </c>
      <c r="C193" s="25" t="n">
        <v>828.23</v>
      </c>
      <c r="D193" s="25" t="n">
        <v>20849.51</v>
      </c>
      <c r="E193" s="30">
        <f>(C193-C192)/C192</f>
        <v/>
      </c>
      <c r="F193" s="30">
        <f>(D193-D192)/D192</f>
        <v/>
      </c>
      <c r="G193" s="29">
        <f>E193-$H$27</f>
        <v/>
      </c>
      <c r="H193" s="29">
        <f>F193-$H$28</f>
        <v/>
      </c>
    </row>
    <row r="194" ht="15" customHeight="1">
      <c r="B194" s="26" t="n">
        <v>44466</v>
      </c>
      <c r="C194" s="27" t="n">
        <v>833.29</v>
      </c>
      <c r="D194" s="27" t="n">
        <v>20721.31</v>
      </c>
      <c r="E194" s="28">
        <f>(C194-C193)/C193</f>
        <v/>
      </c>
      <c r="F194" s="28">
        <f>(D194-D193)/D193</f>
        <v/>
      </c>
      <c r="G194" s="29">
        <f>E194-$H$27</f>
        <v/>
      </c>
      <c r="H194" s="29">
        <f>F194-$H$28</f>
        <v/>
      </c>
    </row>
    <row r="195" ht="15" customHeight="1">
      <c r="B195" s="24" t="n">
        <v>44467</v>
      </c>
      <c r="C195" s="25" t="n">
        <v>847.24</v>
      </c>
      <c r="D195" s="25" t="n">
        <v>20898.41</v>
      </c>
      <c r="E195" s="30">
        <f>(C195-C194)/C194</f>
        <v/>
      </c>
      <c r="F195" s="30">
        <f>(D195-D194)/D194</f>
        <v/>
      </c>
      <c r="G195" s="29">
        <f>E195-$H$27</f>
        <v/>
      </c>
      <c r="H195" s="29">
        <f>F195-$H$28</f>
        <v/>
      </c>
    </row>
    <row r="196" ht="15" customHeight="1">
      <c r="B196" s="26" t="n">
        <v>44468</v>
      </c>
      <c r="C196" s="27" t="n">
        <v>863.03</v>
      </c>
      <c r="D196" s="27" t="n">
        <v>20626.37</v>
      </c>
      <c r="E196" s="28">
        <f>(C196-C195)/C195</f>
        <v/>
      </c>
      <c r="F196" s="28">
        <f>(D196-D195)/D195</f>
        <v/>
      </c>
      <c r="G196" s="29">
        <f>E196-$H$27</f>
        <v/>
      </c>
      <c r="H196" s="29">
        <f>F196-$H$28</f>
        <v/>
      </c>
    </row>
    <row r="197" ht="15" customHeight="1">
      <c r="B197" s="24" t="n">
        <v>44469</v>
      </c>
      <c r="C197" s="25" t="n">
        <v>864.95</v>
      </c>
      <c r="D197" s="25" t="n">
        <v>20624.25</v>
      </c>
      <c r="E197" s="30">
        <f>(C197-C196)/C196</f>
        <v/>
      </c>
      <c r="F197" s="30">
        <f>(D197-D196)/D196</f>
        <v/>
      </c>
      <c r="G197" s="29">
        <f>E197-$H$27</f>
        <v/>
      </c>
      <c r="H197" s="29">
        <f>F197-$H$28</f>
        <v/>
      </c>
    </row>
    <row r="198" ht="15" customHeight="1">
      <c r="B198" s="26" t="n">
        <v>44470</v>
      </c>
      <c r="C198" s="27" t="n">
        <v>875.5700000000001</v>
      </c>
      <c r="D198" s="27" t="n">
        <v>20255.91</v>
      </c>
      <c r="E198" s="28">
        <f>(C198-C197)/C197</f>
        <v/>
      </c>
      <c r="F198" s="28">
        <f>(D198-D197)/D197</f>
        <v/>
      </c>
      <c r="G198" s="29">
        <f>E198-$H$27</f>
        <v/>
      </c>
      <c r="H198" s="29">
        <f>F198-$H$28</f>
        <v/>
      </c>
    </row>
    <row r="199" ht="15" customHeight="1">
      <c r="B199" s="24" t="n">
        <v>44473</v>
      </c>
      <c r="C199" s="25" t="n">
        <v>860.25</v>
      </c>
      <c r="D199" s="25" t="n">
        <v>20368.42</v>
      </c>
      <c r="E199" s="30">
        <f>(C199-C198)/C198</f>
        <v/>
      </c>
      <c r="F199" s="30">
        <f>(D199-D198)/D198</f>
        <v/>
      </c>
      <c r="G199" s="29">
        <f>E199-$H$27</f>
        <v/>
      </c>
      <c r="H199" s="29">
        <f>F199-$H$28</f>
        <v/>
      </c>
    </row>
    <row r="200" ht="15" customHeight="1">
      <c r="B200" s="26" t="n">
        <v>44474</v>
      </c>
      <c r="C200" s="27" t="n">
        <v>862.59</v>
      </c>
      <c r="D200" s="27" t="n">
        <v>20419.5</v>
      </c>
      <c r="E200" s="28">
        <f>(C200-C199)/C199</f>
        <v/>
      </c>
      <c r="F200" s="28">
        <f>(D200-D199)/D199</f>
        <v/>
      </c>
      <c r="G200" s="29">
        <f>E200-$H$27</f>
        <v/>
      </c>
      <c r="H200" s="29">
        <f>F200-$H$28</f>
        <v/>
      </c>
    </row>
    <row r="201" ht="15" customHeight="1">
      <c r="B201" s="24" t="n">
        <v>44475</v>
      </c>
      <c r="C201" s="25" t="n">
        <v>899.97</v>
      </c>
      <c r="D201" s="25" t="n">
        <v>20658.53</v>
      </c>
      <c r="E201" s="30">
        <f>(C201-C200)/C200</f>
        <v/>
      </c>
      <c r="F201" s="30">
        <f>(D201-D200)/D200</f>
        <v/>
      </c>
      <c r="G201" s="29">
        <f>E201-$H$27</f>
        <v/>
      </c>
      <c r="H201" s="29">
        <f>F201-$H$28</f>
        <v/>
      </c>
    </row>
    <row r="202" ht="15" customHeight="1">
      <c r="B202" s="26" t="n">
        <v>44476</v>
      </c>
      <c r="C202" s="27" t="n">
        <v>908.6799999999999</v>
      </c>
      <c r="D202" s="27" t="n">
        <v>20646.61</v>
      </c>
      <c r="E202" s="28">
        <f>(C202-C201)/C201</f>
        <v/>
      </c>
      <c r="F202" s="28">
        <f>(D202-D201)/D201</f>
        <v/>
      </c>
      <c r="G202" s="29">
        <f>E202-$H$27</f>
        <v/>
      </c>
      <c r="H202" s="29">
        <f>F202-$H$28</f>
        <v/>
      </c>
    </row>
    <row r="203" ht="15" customHeight="1">
      <c r="B203" s="24" t="n">
        <v>44477</v>
      </c>
      <c r="C203" s="25" t="n">
        <v>901.3200000000001</v>
      </c>
      <c r="D203" s="25" t="n">
        <v>20624.05</v>
      </c>
      <c r="E203" s="30">
        <f>(C203-C202)/C202</f>
        <v/>
      </c>
      <c r="F203" s="30">
        <f>(D203-D202)/D202</f>
        <v/>
      </c>
      <c r="G203" s="29">
        <f>E203-$H$27</f>
        <v/>
      </c>
      <c r="H203" s="29">
        <f>F203-$H$28</f>
        <v/>
      </c>
    </row>
    <row r="204" ht="15" customHeight="1">
      <c r="B204" s="26" t="n">
        <v>44480</v>
      </c>
      <c r="C204" s="27" t="n">
        <v>896.14</v>
      </c>
      <c r="D204" s="27" t="n">
        <v>20581.88</v>
      </c>
      <c r="E204" s="28">
        <f>(C204-C203)/C203</f>
        <v/>
      </c>
      <c r="F204" s="28">
        <f>(D204-D203)/D203</f>
        <v/>
      </c>
      <c r="G204" s="29">
        <f>E204-$H$27</f>
        <v/>
      </c>
      <c r="H204" s="29">
        <f>F204-$H$28</f>
        <v/>
      </c>
    </row>
    <row r="205" ht="15" customHeight="1">
      <c r="B205" s="24" t="n">
        <v>44481</v>
      </c>
      <c r="C205" s="25" t="n">
        <v>916.48</v>
      </c>
      <c r="D205" s="25" t="n">
        <v>20661.8</v>
      </c>
      <c r="E205" s="30">
        <f>(C205-C204)/C204</f>
        <v/>
      </c>
      <c r="F205" s="30">
        <f>(D205-D204)/D204</f>
        <v/>
      </c>
      <c r="G205" s="29">
        <f>E205-$H$27</f>
        <v/>
      </c>
      <c r="H205" s="29">
        <f>F205-$H$28</f>
        <v/>
      </c>
    </row>
    <row r="206" ht="15" customHeight="1">
      <c r="B206" s="26" t="n">
        <v>44482</v>
      </c>
      <c r="C206" s="27" t="n">
        <v>911.91</v>
      </c>
      <c r="D206" s="27" t="n">
        <v>20517.07</v>
      </c>
      <c r="E206" s="28">
        <f>(C206-C205)/C205</f>
        <v/>
      </c>
      <c r="F206" s="28">
        <f>(D206-D205)/D205</f>
        <v/>
      </c>
      <c r="G206" s="29">
        <f>E206-$H$27</f>
        <v/>
      </c>
      <c r="H206" s="29">
        <f>F206-$H$28</f>
        <v/>
      </c>
    </row>
    <row r="207" ht="15" customHeight="1">
      <c r="B207" s="24" t="n">
        <v>44483</v>
      </c>
      <c r="C207" s="25" t="n">
        <v>917.1799999999999</v>
      </c>
      <c r="D207" s="25" t="n">
        <v>20562.17</v>
      </c>
      <c r="E207" s="30">
        <f>(C207-C206)/C206</f>
        <v/>
      </c>
      <c r="F207" s="30">
        <f>(D207-D206)/D206</f>
        <v/>
      </c>
      <c r="G207" s="29">
        <f>E207-$H$27</f>
        <v/>
      </c>
      <c r="H207" s="29">
        <f>F207-$H$28</f>
        <v/>
      </c>
    </row>
    <row r="208" ht="15" customHeight="1">
      <c r="B208" s="26" t="n">
        <v>44484</v>
      </c>
      <c r="C208" s="27" t="n">
        <v>923.8200000000001</v>
      </c>
      <c r="D208" s="27" t="n">
        <v>20375.65</v>
      </c>
      <c r="E208" s="28">
        <f>(C208-C207)/C207</f>
        <v/>
      </c>
      <c r="F208" s="28">
        <f>(D208-D207)/D207</f>
        <v/>
      </c>
      <c r="G208" s="29">
        <f>E208-$H$27</f>
        <v/>
      </c>
      <c r="H208" s="29">
        <f>F208-$H$28</f>
        <v/>
      </c>
    </row>
    <row r="209" ht="15" customHeight="1">
      <c r="B209" s="24" t="n">
        <v>44487</v>
      </c>
      <c r="C209" s="25" t="n">
        <v>935.71</v>
      </c>
      <c r="D209" s="25" t="n">
        <v>20673.88</v>
      </c>
      <c r="E209" s="30">
        <f>(C209-C208)/C208</f>
        <v/>
      </c>
      <c r="F209" s="30">
        <f>(D209-D208)/D208</f>
        <v/>
      </c>
      <c r="G209" s="29">
        <f>E209-$H$27</f>
        <v/>
      </c>
      <c r="H209" s="29">
        <f>F209-$H$28</f>
        <v/>
      </c>
    </row>
    <row r="210" ht="15" customHeight="1">
      <c r="B210" s="26" t="n">
        <v>44488</v>
      </c>
      <c r="C210" s="27" t="n">
        <v>940.88</v>
      </c>
      <c r="D210" s="27" t="n">
        <v>20583.58</v>
      </c>
      <c r="E210" s="28">
        <f>(C210-C209)/C209</f>
        <v/>
      </c>
      <c r="F210" s="28">
        <f>(D210-D209)/D209</f>
        <v/>
      </c>
      <c r="G210" s="29">
        <f>E210-$H$27</f>
        <v/>
      </c>
      <c r="H210" s="29">
        <f>F210-$H$28</f>
        <v/>
      </c>
    </row>
    <row r="211" ht="15" customHeight="1">
      <c r="B211" s="24" t="n">
        <v>44489</v>
      </c>
      <c r="C211" s="25" t="n">
        <v>950.34</v>
      </c>
      <c r="D211" s="25" t="n">
        <v>20895.03</v>
      </c>
      <c r="E211" s="30">
        <f>(C211-C210)/C210</f>
        <v/>
      </c>
      <c r="F211" s="30">
        <f>(D211-D210)/D210</f>
        <v/>
      </c>
      <c r="G211" s="29">
        <f>E211-$H$27</f>
        <v/>
      </c>
      <c r="H211" s="29">
        <f>F211-$H$28</f>
        <v/>
      </c>
    </row>
    <row r="212" ht="15" customHeight="1">
      <c r="B212" s="26" t="n">
        <v>44490</v>
      </c>
      <c r="C212" s="27" t="n">
        <v>947.9</v>
      </c>
      <c r="D212" s="27" t="n">
        <v>20954.72</v>
      </c>
      <c r="E212" s="28">
        <f>(C212-C211)/C211</f>
        <v/>
      </c>
      <c r="F212" s="28">
        <f>(D212-D211)/D211</f>
        <v/>
      </c>
      <c r="G212" s="29">
        <f>E212-$H$27</f>
        <v/>
      </c>
      <c r="H212" s="29">
        <f>F212-$H$28</f>
        <v/>
      </c>
    </row>
    <row r="213" ht="15" customHeight="1">
      <c r="B213" s="24" t="n">
        <v>44491</v>
      </c>
      <c r="C213" s="25" t="n">
        <v>958.02</v>
      </c>
      <c r="D213" s="25" t="n">
        <v>20921.48</v>
      </c>
      <c r="E213" s="30">
        <f>(C213-C212)/C212</f>
        <v/>
      </c>
      <c r="F213" s="30">
        <f>(D213-D212)/D212</f>
        <v/>
      </c>
      <c r="G213" s="29">
        <f>E213-$H$27</f>
        <v/>
      </c>
      <c r="H213" s="29">
        <f>F213-$H$28</f>
        <v/>
      </c>
    </row>
    <row r="214" ht="15" customHeight="1">
      <c r="B214" s="26" t="n">
        <v>44494</v>
      </c>
      <c r="C214" s="27" t="n">
        <v>945.17</v>
      </c>
      <c r="D214" s="27" t="n">
        <v>21161.72</v>
      </c>
      <c r="E214" s="28">
        <f>(C214-C213)/C213</f>
        <v/>
      </c>
      <c r="F214" s="28">
        <f>(D214-D213)/D213</f>
        <v/>
      </c>
      <c r="G214" s="29">
        <f>E214-$H$27</f>
        <v/>
      </c>
      <c r="H214" s="29">
        <f>F214-$H$28</f>
        <v/>
      </c>
    </row>
    <row r="215" ht="15" customHeight="1">
      <c r="B215" s="24" t="n">
        <v>44495</v>
      </c>
      <c r="C215" s="25" t="n">
        <v>919.95</v>
      </c>
      <c r="D215" s="25" t="n">
        <v>21259.07</v>
      </c>
      <c r="E215" s="30">
        <f>(C215-C214)/C214</f>
        <v/>
      </c>
      <c r="F215" s="30">
        <f>(D215-D214)/D214</f>
        <v/>
      </c>
      <c r="G215" s="29">
        <f>E215-$H$27</f>
        <v/>
      </c>
      <c r="H215" s="29">
        <f>F215-$H$28</f>
        <v/>
      </c>
    </row>
    <row r="216" ht="15" customHeight="1">
      <c r="B216" s="26" t="n">
        <v>44496</v>
      </c>
      <c r="C216" s="27" t="n">
        <v>929.8200000000001</v>
      </c>
      <c r="D216" s="27" t="n">
        <v>21240.62</v>
      </c>
      <c r="E216" s="28">
        <f>(C216-C215)/C215</f>
        <v/>
      </c>
      <c r="F216" s="28">
        <f>(D216-D215)/D215</f>
        <v/>
      </c>
      <c r="G216" s="29">
        <f>E216-$H$27</f>
        <v/>
      </c>
      <c r="H216" s="29">
        <f>F216-$H$28</f>
        <v/>
      </c>
    </row>
    <row r="217" ht="15" customHeight="1">
      <c r="B217" s="24" t="n">
        <v>44497</v>
      </c>
      <c r="C217" s="25" t="n">
        <v>939.01</v>
      </c>
      <c r="D217" s="25" t="n">
        <v>21215.61</v>
      </c>
      <c r="E217" s="30">
        <f>(C217-C216)/C216</f>
        <v/>
      </c>
      <c r="F217" s="30">
        <f>(D217-D216)/D216</f>
        <v/>
      </c>
      <c r="G217" s="29">
        <f>E217-$H$27</f>
        <v/>
      </c>
      <c r="H217" s="29">
        <f>F217-$H$28</f>
        <v/>
      </c>
    </row>
    <row r="218" ht="15" customHeight="1">
      <c r="B218" s="26" t="n">
        <v>44498</v>
      </c>
      <c r="C218" s="27" t="n">
        <v>950.03</v>
      </c>
      <c r="D218" s="27" t="n">
        <v>21289.94</v>
      </c>
      <c r="E218" s="28">
        <f>(C218-C217)/C217</f>
        <v/>
      </c>
      <c r="F218" s="28">
        <f>(D218-D217)/D217</f>
        <v/>
      </c>
      <c r="G218" s="29">
        <f>E218-$H$27</f>
        <v/>
      </c>
      <c r="H218" s="29">
        <f>F218-$H$28</f>
        <v/>
      </c>
    </row>
    <row r="219" ht="15" customHeight="1">
      <c r="B219" s="24" t="n">
        <v>44501</v>
      </c>
      <c r="C219" s="25" t="n">
        <v>943.3099999999999</v>
      </c>
      <c r="D219" s="25" t="n">
        <v>21178.34</v>
      </c>
      <c r="E219" s="30">
        <f>(C219-C218)/C218</f>
        <v/>
      </c>
      <c r="F219" s="30">
        <f>(D219-D218)/D218</f>
        <v/>
      </c>
      <c r="G219" s="29">
        <f>E219-$H$27</f>
        <v/>
      </c>
      <c r="H219" s="29">
        <f>F219-$H$28</f>
        <v/>
      </c>
    </row>
    <row r="220" ht="15" customHeight="1">
      <c r="B220" s="26" t="n">
        <v>44502</v>
      </c>
      <c r="C220" s="27" t="n">
        <v>933.65</v>
      </c>
      <c r="D220" s="27" t="n">
        <v>20998.82</v>
      </c>
      <c r="E220" s="28">
        <f>(C220-C219)/C219</f>
        <v/>
      </c>
      <c r="F220" s="28">
        <f>(D220-D219)/D219</f>
        <v/>
      </c>
      <c r="G220" s="29">
        <f>E220-$H$27</f>
        <v/>
      </c>
      <c r="H220" s="29">
        <f>F220-$H$28</f>
        <v/>
      </c>
    </row>
    <row r="221" ht="15" customHeight="1">
      <c r="B221" s="24" t="n">
        <v>44503</v>
      </c>
      <c r="C221" s="25" t="n">
        <v>946.34</v>
      </c>
      <c r="D221" s="25" t="n">
        <v>21073.3</v>
      </c>
      <c r="E221" s="30">
        <f>(C221-C220)/C220</f>
        <v/>
      </c>
      <c r="F221" s="30">
        <f>(D221-D220)/D220</f>
        <v/>
      </c>
      <c r="G221" s="29">
        <f>E221-$H$27</f>
        <v/>
      </c>
      <c r="H221" s="29">
        <f>F221-$H$28</f>
        <v/>
      </c>
    </row>
    <row r="222" ht="15" customHeight="1">
      <c r="B222" s="26" t="n">
        <v>44504</v>
      </c>
      <c r="C222" s="27" t="n">
        <v>957.8</v>
      </c>
      <c r="D222" s="27" t="n">
        <v>20764.98</v>
      </c>
      <c r="E222" s="28">
        <f>(C222-C221)/C221</f>
        <v/>
      </c>
      <c r="F222" s="28">
        <f>(D222-D221)/D221</f>
        <v/>
      </c>
      <c r="G222" s="29">
        <f>E222-$H$27</f>
        <v/>
      </c>
      <c r="H222" s="29">
        <f>F222-$H$28</f>
        <v/>
      </c>
    </row>
    <row r="223" ht="15" customHeight="1">
      <c r="B223" s="24" t="n">
        <v>44505</v>
      </c>
      <c r="C223" s="25" t="n">
        <v>979.55</v>
      </c>
      <c r="D223" s="25" t="n">
        <v>20937.54</v>
      </c>
      <c r="E223" s="30">
        <f>(C223-C222)/C222</f>
        <v/>
      </c>
      <c r="F223" s="30">
        <f>(D223-D222)/D222</f>
        <v/>
      </c>
      <c r="G223" s="29">
        <f>E223-$H$27</f>
        <v/>
      </c>
      <c r="H223" s="29">
        <f>F223-$H$28</f>
        <v/>
      </c>
    </row>
    <row r="224" ht="15" customHeight="1">
      <c r="B224" s="26" t="n">
        <v>44508</v>
      </c>
      <c r="C224" s="27" t="n">
        <v>986.1799999999999</v>
      </c>
      <c r="D224" s="27" t="n">
        <v>20893.72</v>
      </c>
      <c r="E224" s="28">
        <f>(C224-C223)/C223</f>
        <v/>
      </c>
      <c r="F224" s="28">
        <f>(D224-D223)/D223</f>
        <v/>
      </c>
      <c r="G224" s="29">
        <f>E224-$H$27</f>
        <v/>
      </c>
      <c r="H224" s="29">
        <f>F224-$H$28</f>
        <v/>
      </c>
    </row>
    <row r="225" ht="15" customHeight="1">
      <c r="B225" s="24" t="n">
        <v>44509</v>
      </c>
      <c r="C225" s="25" t="n">
        <v>979.84</v>
      </c>
      <c r="D225" s="25" t="n">
        <v>20661.17</v>
      </c>
      <c r="E225" s="30">
        <f>(C225-C224)/C224</f>
        <v/>
      </c>
      <c r="F225" s="30">
        <f>(D225-D224)/D224</f>
        <v/>
      </c>
      <c r="G225" s="29">
        <f>E225-$H$27</f>
        <v/>
      </c>
      <c r="H225" s="29">
        <f>F225-$H$28</f>
        <v/>
      </c>
    </row>
    <row r="226" ht="15" customHeight="1">
      <c r="B226" s="26" t="n">
        <v>44510</v>
      </c>
      <c r="C226" s="27" t="n">
        <v>956.99</v>
      </c>
      <c r="D226" s="27" t="n">
        <v>20892.64</v>
      </c>
      <c r="E226" s="28">
        <f>(C226-C225)/C225</f>
        <v/>
      </c>
      <c r="F226" s="28">
        <f>(D226-D225)/D225</f>
        <v/>
      </c>
      <c r="G226" s="29">
        <f>E226-$H$27</f>
        <v/>
      </c>
      <c r="H226" s="29">
        <f>F226-$H$28</f>
        <v/>
      </c>
    </row>
    <row r="227" ht="15" customHeight="1">
      <c r="B227" s="24" t="n">
        <v>44511</v>
      </c>
      <c r="C227" s="25" t="n">
        <v>995.0599999999999</v>
      </c>
      <c r="D227" s="25" t="n">
        <v>21050.93</v>
      </c>
      <c r="E227" s="30">
        <f>(C227-C226)/C226</f>
        <v/>
      </c>
      <c r="F227" s="30">
        <f>(D227-D226)/D226</f>
        <v/>
      </c>
      <c r="G227" s="29">
        <f>E227-$H$27</f>
        <v/>
      </c>
      <c r="H227" s="29">
        <f>F227-$H$28</f>
        <v/>
      </c>
    </row>
    <row r="228" ht="15" customHeight="1">
      <c r="B228" s="26" t="n">
        <v>44512</v>
      </c>
      <c r="C228" s="27" t="n">
        <v>982.52</v>
      </c>
      <c r="D228" s="27" t="n">
        <v>21215.68</v>
      </c>
      <c r="E228" s="28">
        <f>(C228-C227)/C227</f>
        <v/>
      </c>
      <c r="F228" s="28">
        <f>(D228-D227)/D227</f>
        <v/>
      </c>
      <c r="G228" s="29">
        <f>E228-$H$27</f>
        <v/>
      </c>
      <c r="H228" s="29">
        <f>F228-$H$28</f>
        <v/>
      </c>
    </row>
    <row r="229" ht="15" customHeight="1">
      <c r="B229" s="24" t="n">
        <v>44515</v>
      </c>
      <c r="C229" s="25" t="n">
        <v>989.24</v>
      </c>
      <c r="D229" s="25" t="n">
        <v>21422.59</v>
      </c>
      <c r="E229" s="30">
        <f>(C229-C228)/C228</f>
        <v/>
      </c>
      <c r="F229" s="30">
        <f>(D229-D228)/D228</f>
        <v/>
      </c>
      <c r="G229" s="29">
        <f>E229-$H$27</f>
        <v/>
      </c>
      <c r="H229" s="29">
        <f>F229-$H$28</f>
        <v/>
      </c>
    </row>
    <row r="230" ht="15" customHeight="1">
      <c r="B230" s="26" t="n">
        <v>44516</v>
      </c>
      <c r="C230" s="27" t="n">
        <v>1022.59</v>
      </c>
      <c r="D230" s="27" t="n">
        <v>21185.72</v>
      </c>
      <c r="E230" s="28">
        <f>(C230-C229)/C229</f>
        <v/>
      </c>
      <c r="F230" s="28">
        <f>(D230-D229)/D229</f>
        <v/>
      </c>
      <c r="G230" s="29">
        <f>E230-$H$27</f>
        <v/>
      </c>
      <c r="H230" s="29">
        <f>F230-$H$28</f>
        <v/>
      </c>
    </row>
    <row r="231" ht="15" customHeight="1">
      <c r="B231" s="24" t="n">
        <v>44517</v>
      </c>
      <c r="C231" s="25" t="n">
        <v>1029.2</v>
      </c>
      <c r="D231" s="25" t="n">
        <v>21529.69</v>
      </c>
      <c r="E231" s="30">
        <f>(C231-C230)/C230</f>
        <v/>
      </c>
      <c r="F231" s="30">
        <f>(D231-D230)/D230</f>
        <v/>
      </c>
      <c r="G231" s="29">
        <f>E231-$H$27</f>
        <v/>
      </c>
      <c r="H231" s="29">
        <f>F231-$H$28</f>
        <v/>
      </c>
    </row>
    <row r="232" ht="15" customHeight="1">
      <c r="B232" s="26" t="n">
        <v>44518</v>
      </c>
      <c r="C232" s="27" t="n">
        <v>1034.99</v>
      </c>
      <c r="D232" s="27" t="n">
        <v>21254.59</v>
      </c>
      <c r="E232" s="28">
        <f>(C232-C231)/C231</f>
        <v/>
      </c>
      <c r="F232" s="28">
        <f>(D232-D231)/D231</f>
        <v/>
      </c>
      <c r="G232" s="29">
        <f>E232-$H$27</f>
        <v/>
      </c>
      <c r="H232" s="29">
        <f>F232-$H$28</f>
        <v/>
      </c>
    </row>
    <row r="233" ht="15" customHeight="1">
      <c r="B233" s="24" t="n">
        <v>44519</v>
      </c>
      <c r="C233" s="25" t="n">
        <v>1027.34</v>
      </c>
      <c r="D233" s="25" t="n">
        <v>20936.73</v>
      </c>
      <c r="E233" s="30">
        <f>(C233-C232)/C232</f>
        <v/>
      </c>
      <c r="F233" s="30">
        <f>(D233-D232)/D232</f>
        <v/>
      </c>
      <c r="G233" s="29">
        <f>E233-$H$27</f>
        <v/>
      </c>
      <c r="H233" s="29">
        <f>F233-$H$28</f>
        <v/>
      </c>
    </row>
    <row r="234" ht="15" customHeight="1">
      <c r="B234" s="26" t="n">
        <v>44522</v>
      </c>
      <c r="C234" s="27" t="n">
        <v>1017.39</v>
      </c>
      <c r="D234" s="27" t="n">
        <v>21278.67</v>
      </c>
      <c r="E234" s="28">
        <f>(C234-C233)/C233</f>
        <v/>
      </c>
      <c r="F234" s="28">
        <f>(D234-D233)/D233</f>
        <v/>
      </c>
      <c r="G234" s="29">
        <f>E234-$H$27</f>
        <v/>
      </c>
      <c r="H234" s="29">
        <f>F234-$H$28</f>
        <v/>
      </c>
    </row>
    <row r="235" ht="15" customHeight="1">
      <c r="B235" s="24" t="n">
        <v>44523</v>
      </c>
      <c r="C235" s="25" t="n">
        <v>1018.82</v>
      </c>
      <c r="D235" s="25" t="n">
        <v>21384.55</v>
      </c>
      <c r="E235" s="30">
        <f>(C235-C234)/C234</f>
        <v/>
      </c>
      <c r="F235" s="30">
        <f>(D235-D234)/D234</f>
        <v/>
      </c>
      <c r="G235" s="29">
        <f>E235-$H$27</f>
        <v/>
      </c>
      <c r="H235" s="29">
        <f>F235-$H$28</f>
        <v/>
      </c>
    </row>
    <row r="236" ht="15" customHeight="1">
      <c r="B236" s="26" t="n">
        <v>44524</v>
      </c>
      <c r="C236" s="27" t="n">
        <v>1042.48</v>
      </c>
      <c r="D236" s="27" t="n">
        <v>21721.7</v>
      </c>
      <c r="E236" s="28">
        <f>(C236-C235)/C235</f>
        <v/>
      </c>
      <c r="F236" s="28">
        <f>(D236-D235)/D235</f>
        <v/>
      </c>
      <c r="G236" s="29">
        <f>E236-$H$27</f>
        <v/>
      </c>
      <c r="H236" s="29">
        <f>F236-$H$28</f>
        <v/>
      </c>
    </row>
    <row r="237" ht="15" customHeight="1">
      <c r="B237" s="24" t="n">
        <v>44525</v>
      </c>
      <c r="C237" s="25" t="n">
        <v>1032.56</v>
      </c>
      <c r="D237" s="25" t="n">
        <v>21528.34</v>
      </c>
      <c r="E237" s="30">
        <f>(C237-C236)/C236</f>
        <v/>
      </c>
      <c r="F237" s="30">
        <f>(D237-D236)/D236</f>
        <v/>
      </c>
      <c r="G237" s="29">
        <f>E237-$H$27</f>
        <v/>
      </c>
      <c r="H237" s="29">
        <f>F237-$H$28</f>
        <v/>
      </c>
    </row>
    <row r="238" ht="15" customHeight="1">
      <c r="B238" s="26" t="n">
        <v>44526</v>
      </c>
      <c r="C238" s="27" t="n">
        <v>1033.77</v>
      </c>
      <c r="D238" s="27" t="n">
        <v>21373.4</v>
      </c>
      <c r="E238" s="28">
        <f>(C238-C237)/C237</f>
        <v/>
      </c>
      <c r="F238" s="28">
        <f>(D238-D237)/D237</f>
        <v/>
      </c>
      <c r="G238" s="29">
        <f>E238-$H$27</f>
        <v/>
      </c>
      <c r="H238" s="29">
        <f>F238-$H$28</f>
        <v/>
      </c>
    </row>
    <row r="239" ht="15" customHeight="1">
      <c r="B239" s="24" t="n">
        <v>44529</v>
      </c>
      <c r="C239" s="25" t="n">
        <v>1030.75</v>
      </c>
      <c r="D239" s="25" t="n">
        <v>21184.57</v>
      </c>
      <c r="E239" s="30">
        <f>(C239-C238)/C238</f>
        <v/>
      </c>
      <c r="F239" s="30">
        <f>(D239-D238)/D238</f>
        <v/>
      </c>
      <c r="G239" s="29">
        <f>E239-$H$27</f>
        <v/>
      </c>
      <c r="H239" s="29">
        <f>F239-$H$28</f>
        <v/>
      </c>
    </row>
    <row r="240" ht="15" customHeight="1">
      <c r="B240" s="26" t="n">
        <v>44530</v>
      </c>
      <c r="C240" s="27" t="n">
        <v>1020.09</v>
      </c>
      <c r="D240" s="27" t="n">
        <v>21049.08</v>
      </c>
      <c r="E240" s="28">
        <f>(C240-C239)/C239</f>
        <v/>
      </c>
      <c r="F240" s="28">
        <f>(D240-D239)/D239</f>
        <v/>
      </c>
      <c r="G240" s="29">
        <f>E240-$H$27</f>
        <v/>
      </c>
      <c r="H240" s="29">
        <f>F240-$H$28</f>
        <v/>
      </c>
    </row>
    <row r="241" ht="15" customHeight="1">
      <c r="B241" s="24" t="n">
        <v>44531</v>
      </c>
      <c r="C241" s="25" t="n">
        <v>1046.95</v>
      </c>
      <c r="D241" s="25" t="n">
        <v>21149.59</v>
      </c>
      <c r="E241" s="30">
        <f>(C241-C240)/C240</f>
        <v/>
      </c>
      <c r="F241" s="30">
        <f>(D241-D240)/D240</f>
        <v/>
      </c>
      <c r="G241" s="29">
        <f>E241-$H$27</f>
        <v/>
      </c>
      <c r="H241" s="29">
        <f>F241-$H$28</f>
        <v/>
      </c>
    </row>
    <row r="242" ht="15" customHeight="1">
      <c r="B242" s="26" t="n">
        <v>44532</v>
      </c>
      <c r="C242" s="27" t="n">
        <v>1069.05</v>
      </c>
      <c r="D242" s="27" t="n">
        <v>21015.26</v>
      </c>
      <c r="E242" s="28">
        <f>(C242-C241)/C241</f>
        <v/>
      </c>
      <c r="F242" s="28">
        <f>(D242-D241)/D241</f>
        <v/>
      </c>
      <c r="G242" s="29">
        <f>E242-$H$27</f>
        <v/>
      </c>
      <c r="H242" s="29">
        <f>F242-$H$28</f>
        <v/>
      </c>
    </row>
    <row r="243" ht="15" customHeight="1">
      <c r="B243" s="24" t="n">
        <v>44533</v>
      </c>
      <c r="C243" s="25" t="n">
        <v>1051.92</v>
      </c>
      <c r="D243" s="25" t="n">
        <v>20929.58</v>
      </c>
      <c r="E243" s="30">
        <f>(C243-C242)/C242</f>
        <v/>
      </c>
      <c r="F243" s="30">
        <f>(D243-D242)/D242</f>
        <v/>
      </c>
      <c r="G243" s="29">
        <f>E243-$H$27</f>
        <v/>
      </c>
      <c r="H243" s="29">
        <f>F243-$H$28</f>
        <v/>
      </c>
    </row>
    <row r="244" ht="15" customHeight="1">
      <c r="B244" s="26" t="n">
        <v>44536</v>
      </c>
      <c r="C244" s="27" t="n">
        <v>1073.58</v>
      </c>
      <c r="D244" s="27" t="n">
        <v>20727.52</v>
      </c>
      <c r="E244" s="28">
        <f>(C244-C243)/C243</f>
        <v/>
      </c>
      <c r="F244" s="28">
        <f>(D244-D243)/D243</f>
        <v/>
      </c>
      <c r="G244" s="29">
        <f>E244-$H$27</f>
        <v/>
      </c>
      <c r="H244" s="29">
        <f>F244-$H$28</f>
        <v/>
      </c>
    </row>
    <row r="245" ht="15" customHeight="1">
      <c r="B245" s="24" t="n">
        <v>44537</v>
      </c>
      <c r="C245" s="25" t="n">
        <v>1106.12</v>
      </c>
      <c r="D245" s="25" t="n">
        <v>21185.67</v>
      </c>
      <c r="E245" s="30">
        <f>(C245-C244)/C244</f>
        <v/>
      </c>
      <c r="F245" s="30">
        <f>(D245-D244)/D244</f>
        <v/>
      </c>
      <c r="G245" s="29">
        <f>E245-$H$27</f>
        <v/>
      </c>
      <c r="H245" s="29">
        <f>F245-$H$28</f>
        <v/>
      </c>
    </row>
    <row r="246" ht="15" customHeight="1">
      <c r="B246" s="26" t="n">
        <v>44538</v>
      </c>
      <c r="C246" s="27" t="n">
        <v>1120.6</v>
      </c>
      <c r="D246" s="27" t="n">
        <v>21288.3</v>
      </c>
      <c r="E246" s="28">
        <f>(C246-C245)/C245</f>
        <v/>
      </c>
      <c r="F246" s="28">
        <f>(D246-D245)/D245</f>
        <v/>
      </c>
      <c r="G246" s="29">
        <f>E246-$H$27</f>
        <v/>
      </c>
      <c r="H246" s="29">
        <f>F246-$H$28</f>
        <v/>
      </c>
    </row>
    <row r="247" ht="15" customHeight="1">
      <c r="B247" s="24" t="n">
        <v>44539</v>
      </c>
      <c r="C247" s="25" t="n">
        <v>1114.22</v>
      </c>
      <c r="D247" s="25" t="n">
        <v>21150.35</v>
      </c>
      <c r="E247" s="30">
        <f>(C247-C246)/C246</f>
        <v/>
      </c>
      <c r="F247" s="30">
        <f>(D247-D246)/D246</f>
        <v/>
      </c>
      <c r="G247" s="29">
        <f>E247-$H$27</f>
        <v/>
      </c>
      <c r="H247" s="29">
        <f>F247-$H$28</f>
        <v/>
      </c>
    </row>
    <row r="248" ht="15" customHeight="1">
      <c r="B248" s="26" t="n">
        <v>44540</v>
      </c>
      <c r="C248" s="27" t="n">
        <v>1145.32</v>
      </c>
      <c r="D248" s="27" t="n">
        <v>21045.88</v>
      </c>
      <c r="E248" s="28">
        <f>(C248-C247)/C247</f>
        <v/>
      </c>
      <c r="F248" s="28">
        <f>(D248-D247)/D247</f>
        <v/>
      </c>
      <c r="G248" s="29">
        <f>E248-$H$27</f>
        <v/>
      </c>
      <c r="H248" s="29">
        <f>F248-$H$28</f>
        <v/>
      </c>
    </row>
    <row r="249" ht="15" customHeight="1">
      <c r="B249" s="24" t="n">
        <v>44543</v>
      </c>
      <c r="C249" s="25" t="n">
        <v>1121.81</v>
      </c>
      <c r="D249" s="25" t="n">
        <v>21167.05</v>
      </c>
      <c r="E249" s="30">
        <f>(C249-C248)/C248</f>
        <v/>
      </c>
      <c r="F249" s="30">
        <f>(D249-D248)/D248</f>
        <v/>
      </c>
      <c r="G249" s="29">
        <f>E249-$H$27</f>
        <v/>
      </c>
      <c r="H249" s="29">
        <f>F249-$H$28</f>
        <v/>
      </c>
    </row>
    <row r="250" ht="15" customHeight="1">
      <c r="B250" s="26" t="n">
        <v>44544</v>
      </c>
      <c r="C250" s="27" t="n">
        <v>1117.84</v>
      </c>
      <c r="D250" s="27" t="n">
        <v>21312.12</v>
      </c>
      <c r="E250" s="28">
        <f>(C250-C249)/C249</f>
        <v/>
      </c>
      <c r="F250" s="28">
        <f>(D250-D249)/D249</f>
        <v/>
      </c>
      <c r="G250" s="29">
        <f>E250-$H$27</f>
        <v/>
      </c>
      <c r="H250" s="29">
        <f>F250-$H$28</f>
        <v/>
      </c>
    </row>
    <row r="251" ht="15" customHeight="1">
      <c r="B251" s="24" t="n">
        <v>44545</v>
      </c>
      <c r="C251" s="25" t="n">
        <v>1115.3</v>
      </c>
      <c r="D251" s="25" t="n">
        <v>21407.34</v>
      </c>
      <c r="E251" s="30">
        <f>(C251-C250)/C250</f>
        <v/>
      </c>
      <c r="F251" s="30">
        <f>(D251-D250)/D250</f>
        <v/>
      </c>
      <c r="G251" s="29">
        <f>E251-$H$27</f>
        <v/>
      </c>
      <c r="H251" s="29">
        <f>F251-$H$28</f>
        <v/>
      </c>
    </row>
    <row r="252" ht="15" customHeight="1">
      <c r="B252" s="26" t="n">
        <v>44546</v>
      </c>
      <c r="C252" s="27" t="n">
        <v>1113.73</v>
      </c>
      <c r="D252" s="27" t="n">
        <v>21583.68</v>
      </c>
      <c r="E252" s="28">
        <f>(C252-C251)/C251</f>
        <v/>
      </c>
      <c r="F252" s="28">
        <f>(D252-D251)/D251</f>
        <v/>
      </c>
      <c r="G252" s="29">
        <f>E252-$H$27</f>
        <v/>
      </c>
      <c r="H252" s="29">
        <f>F252-$H$28</f>
        <v/>
      </c>
    </row>
    <row r="253" ht="15" customHeight="1">
      <c r="B253" s="24" t="n">
        <v>44547</v>
      </c>
      <c r="C253" s="25" t="n">
        <v>1116.54</v>
      </c>
      <c r="D253" s="25" t="n">
        <v>21809.68</v>
      </c>
      <c r="E253" s="30">
        <f>(C253-C252)/C252</f>
        <v/>
      </c>
      <c r="F253" s="30">
        <f>(D253-D252)/D252</f>
        <v/>
      </c>
      <c r="G253" s="29">
        <f>E253-$H$27</f>
        <v/>
      </c>
      <c r="H253" s="29">
        <f>F253-$H$28</f>
        <v/>
      </c>
    </row>
    <row r="254" ht="15" customHeight="1">
      <c r="B254" s="26" t="n">
        <v>44550</v>
      </c>
      <c r="C254" s="27" t="n">
        <v>1135.93</v>
      </c>
      <c r="D254" s="27" t="n">
        <v>21800.63</v>
      </c>
      <c r="E254" s="28">
        <f>(C254-C253)/C253</f>
        <v/>
      </c>
      <c r="F254" s="28">
        <f>(D254-D253)/D253</f>
        <v/>
      </c>
      <c r="G254" s="29">
        <f>E254-$H$27</f>
        <v/>
      </c>
      <c r="H254" s="29">
        <f>F254-$H$28</f>
        <v/>
      </c>
    </row>
    <row r="255" ht="15" customHeight="1">
      <c r="B255" s="24" t="n">
        <v>44551</v>
      </c>
      <c r="C255" s="25" t="n">
        <v>1128.3</v>
      </c>
      <c r="D255" s="25" t="n">
        <v>21942.29</v>
      </c>
      <c r="E255" s="30">
        <f>(C255-C254)/C254</f>
        <v/>
      </c>
      <c r="F255" s="30">
        <f>(D255-D254)/D254</f>
        <v/>
      </c>
      <c r="G255" s="29">
        <f>E255-$H$27</f>
        <v/>
      </c>
      <c r="H255" s="29">
        <f>F255-$H$28</f>
        <v/>
      </c>
    </row>
    <row r="256" ht="15" customHeight="1">
      <c r="B256" s="26" t="n">
        <v>44552</v>
      </c>
      <c r="C256" s="27" t="n">
        <v>1105.15</v>
      </c>
      <c r="D256" s="27" t="n">
        <v>22269.41</v>
      </c>
      <c r="E256" s="28">
        <f>(C256-C255)/C255</f>
        <v/>
      </c>
      <c r="F256" s="28">
        <f>(D256-D255)/D255</f>
        <v/>
      </c>
      <c r="G256" s="29">
        <f>E256-$H$27</f>
        <v/>
      </c>
      <c r="H256" s="29">
        <f>F256-$H$28</f>
        <v/>
      </c>
    </row>
    <row r="257" ht="15" customHeight="1">
      <c r="B257" s="24" t="n">
        <v>44553</v>
      </c>
      <c r="C257" s="25" t="n">
        <v>1123.02</v>
      </c>
      <c r="D257" s="25" t="n">
        <v>22418.77</v>
      </c>
      <c r="E257" s="30">
        <f>(C257-C256)/C256</f>
        <v/>
      </c>
      <c r="F257" s="30">
        <f>(D257-D256)/D256</f>
        <v/>
      </c>
      <c r="G257" s="29">
        <f>E257-$H$27</f>
        <v/>
      </c>
      <c r="H257" s="29">
        <f>F257-$H$28</f>
        <v/>
      </c>
    </row>
    <row r="258" ht="15" customHeight="1">
      <c r="B258" s="26" t="n">
        <v>44554</v>
      </c>
      <c r="C258" s="27" t="n">
        <v>1083.68</v>
      </c>
      <c r="D258" s="27" t="n">
        <v>22235.21</v>
      </c>
      <c r="E258" s="28">
        <f>(C258-C257)/C257</f>
        <v/>
      </c>
      <c r="F258" s="28">
        <f>(D258-D257)/D257</f>
        <v/>
      </c>
      <c r="G258" s="29">
        <f>E258-$H$27</f>
        <v/>
      </c>
      <c r="H258" s="29">
        <f>F258-$H$28</f>
        <v/>
      </c>
    </row>
    <row r="259" ht="15" customHeight="1">
      <c r="B259" s="24" t="n">
        <v>44557</v>
      </c>
      <c r="C259" s="25" t="n">
        <v>1079.59</v>
      </c>
      <c r="D259" s="25" t="n">
        <v>21904.13</v>
      </c>
      <c r="E259" s="30">
        <f>(C259-C258)/C258</f>
        <v/>
      </c>
      <c r="F259" s="30">
        <f>(D259-D258)/D258</f>
        <v/>
      </c>
      <c r="G259" s="29">
        <f>E259-$H$27</f>
        <v/>
      </c>
      <c r="H259" s="29">
        <f>F259-$H$28</f>
        <v/>
      </c>
    </row>
    <row r="260" ht="15" customHeight="1">
      <c r="B260" s="26" t="n">
        <v>44558</v>
      </c>
      <c r="C260" s="27" t="n">
        <v>1076.38</v>
      </c>
      <c r="D260" s="27" t="n">
        <v>22185.19</v>
      </c>
      <c r="E260" s="28">
        <f>(C260-C259)/C259</f>
        <v/>
      </c>
      <c r="F260" s="28">
        <f>(D260-D259)/D259</f>
        <v/>
      </c>
      <c r="G260" s="29">
        <f>E260-$H$27</f>
        <v/>
      </c>
      <c r="H260" s="29">
        <f>F260-$H$28</f>
        <v/>
      </c>
    </row>
    <row r="261" ht="15" customHeight="1">
      <c r="B261" s="24" t="n">
        <v>44559</v>
      </c>
      <c r="C261" s="25" t="n">
        <v>1060.57</v>
      </c>
      <c r="D261" s="25" t="n">
        <v>22609.23</v>
      </c>
      <c r="E261" s="30">
        <f>(C261-C260)/C260</f>
        <v/>
      </c>
      <c r="F261" s="30">
        <f>(D261-D260)/D260</f>
        <v/>
      </c>
      <c r="G261" s="29">
        <f>E261-$H$27</f>
        <v/>
      </c>
      <c r="H261" s="29">
        <f>F261-$H$28</f>
        <v/>
      </c>
    </row>
    <row r="262" ht="15" customHeight="1">
      <c r="B262" s="26" t="n">
        <v>44560</v>
      </c>
      <c r="C262" s="27" t="n">
        <v>1021.45</v>
      </c>
      <c r="D262" s="27" t="n">
        <v>22600.49</v>
      </c>
      <c r="E262" s="28">
        <f>(C262-C261)/C261</f>
        <v/>
      </c>
      <c r="F262" s="28">
        <f>(D262-D261)/D261</f>
        <v/>
      </c>
      <c r="G262" s="29">
        <f>E262-$H$27</f>
        <v/>
      </c>
      <c r="H262" s="29">
        <f>F262-$H$28</f>
        <v/>
      </c>
    </row>
    <row r="263" ht="15" customHeight="1">
      <c r="B263" s="24" t="n">
        <v>44561</v>
      </c>
      <c r="C263" s="25" t="n">
        <v>1004.64</v>
      </c>
      <c r="D263" s="25" t="n">
        <v>22899.63</v>
      </c>
      <c r="E263" s="30">
        <f>(C263-C262)/C262</f>
        <v/>
      </c>
      <c r="F263" s="30">
        <f>(D263-D262)/D262</f>
        <v/>
      </c>
      <c r="G263" s="29">
        <f>E263-$H$27</f>
        <v/>
      </c>
      <c r="H263" s="29">
        <f>F263-$H$28</f>
        <v/>
      </c>
    </row>
    <row r="264" ht="15" customHeight="1">
      <c r="B264" s="26" t="n">
        <v>44564</v>
      </c>
      <c r="C264" s="27" t="n">
        <v>1020.57</v>
      </c>
      <c r="D264" s="27" t="n">
        <v>22696.52</v>
      </c>
      <c r="E264" s="28">
        <f>(C264-C263)/C263</f>
        <v/>
      </c>
      <c r="F264" s="28">
        <f>(D264-D263)/D263</f>
        <v/>
      </c>
      <c r="G264" s="29">
        <f>E264-$H$27</f>
        <v/>
      </c>
      <c r="H264" s="29">
        <f>F264-$H$28</f>
        <v/>
      </c>
    </row>
    <row r="265" ht="15" customHeight="1">
      <c r="B265" s="24" t="n">
        <v>44565</v>
      </c>
      <c r="C265" s="25" t="n">
        <v>1015.01</v>
      </c>
      <c r="D265" s="25" t="n">
        <v>22556.4</v>
      </c>
      <c r="E265" s="30">
        <f>(C265-C264)/C264</f>
        <v/>
      </c>
      <c r="F265" s="30">
        <f>(D265-D264)/D264</f>
        <v/>
      </c>
      <c r="G265" s="29">
        <f>E265-$H$27</f>
        <v/>
      </c>
      <c r="H265" s="29">
        <f>F265-$H$28</f>
        <v/>
      </c>
    </row>
    <row r="266" ht="15" customHeight="1">
      <c r="B266" s="26" t="n">
        <v>44566</v>
      </c>
      <c r="C266" s="27" t="n">
        <v>1014.51</v>
      </c>
      <c r="D266" s="27" t="n">
        <v>22956.45</v>
      </c>
      <c r="E266" s="28">
        <f>(C266-C265)/C265</f>
        <v/>
      </c>
      <c r="F266" s="28">
        <f>(D266-D265)/D265</f>
        <v/>
      </c>
      <c r="G266" s="29">
        <f>E266-$H$27</f>
        <v/>
      </c>
      <c r="H266" s="29">
        <f>F266-$H$28</f>
        <v/>
      </c>
    </row>
    <row r="267" ht="15" customHeight="1">
      <c r="B267" s="24" t="n">
        <v>44567</v>
      </c>
      <c r="C267" s="25" t="n">
        <v>1006.09</v>
      </c>
      <c r="D267" s="25" t="n">
        <v>22895.59</v>
      </c>
      <c r="E267" s="30">
        <f>(C267-C266)/C266</f>
        <v/>
      </c>
      <c r="F267" s="30">
        <f>(D267-D266)/D266</f>
        <v/>
      </c>
      <c r="G267" s="29">
        <f>E267-$H$27</f>
        <v/>
      </c>
      <c r="H267" s="29">
        <f>F267-$H$28</f>
        <v/>
      </c>
    </row>
    <row r="268" ht="15" customHeight="1">
      <c r="B268" s="26" t="n">
        <v>44568</v>
      </c>
      <c r="C268" s="27" t="n">
        <v>993.28</v>
      </c>
      <c r="D268" s="27" t="n">
        <v>22977.64</v>
      </c>
      <c r="E268" s="28">
        <f>(C268-C267)/C267</f>
        <v/>
      </c>
      <c r="F268" s="28">
        <f>(D268-D267)/D267</f>
        <v/>
      </c>
      <c r="G268" s="29">
        <f>E268-$H$27</f>
        <v/>
      </c>
      <c r="H268" s="29">
        <f>F268-$H$28</f>
        <v/>
      </c>
    </row>
    <row r="269" ht="15" customHeight="1">
      <c r="B269" s="24" t="n">
        <v>44571</v>
      </c>
      <c r="C269" s="25" t="n">
        <v>995.9</v>
      </c>
      <c r="D269" s="25" t="n">
        <v>22907.63</v>
      </c>
      <c r="E269" s="30">
        <f>(C269-C268)/C268</f>
        <v/>
      </c>
      <c r="F269" s="30">
        <f>(D269-D268)/D268</f>
        <v/>
      </c>
      <c r="G269" s="29">
        <f>E269-$H$27</f>
        <v/>
      </c>
      <c r="H269" s="29">
        <f>F269-$H$28</f>
        <v/>
      </c>
    </row>
    <row r="270" ht="15" customHeight="1">
      <c r="B270" s="26" t="n">
        <v>44572</v>
      </c>
      <c r="C270" s="27" t="n">
        <v>1010.43</v>
      </c>
      <c r="D270" s="27" t="n">
        <v>23165.34</v>
      </c>
      <c r="E270" s="28">
        <f>(C270-C269)/C269</f>
        <v/>
      </c>
      <c r="F270" s="28">
        <f>(D270-D269)/D269</f>
        <v/>
      </c>
      <c r="G270" s="29">
        <f>E270-$H$27</f>
        <v/>
      </c>
      <c r="H270" s="29">
        <f>F270-$H$28</f>
        <v/>
      </c>
    </row>
    <row r="271" ht="15" customHeight="1">
      <c r="B271" s="24" t="n">
        <v>44573</v>
      </c>
      <c r="C271" s="25" t="n">
        <v>1043.43</v>
      </c>
      <c r="D271" s="25" t="n">
        <v>23107.28</v>
      </c>
      <c r="E271" s="30">
        <f>(C271-C270)/C270</f>
        <v/>
      </c>
      <c r="F271" s="30">
        <f>(D271-D270)/D270</f>
        <v/>
      </c>
      <c r="G271" s="29">
        <f>E271-$H$27</f>
        <v/>
      </c>
      <c r="H271" s="29">
        <f>F271-$H$28</f>
        <v/>
      </c>
    </row>
    <row r="272" ht="15" customHeight="1">
      <c r="B272" s="26" t="n">
        <v>44574</v>
      </c>
      <c r="C272" s="27" t="n">
        <v>1052.43</v>
      </c>
      <c r="D272" s="27" t="n">
        <v>23072.79</v>
      </c>
      <c r="E272" s="28">
        <f>(C272-C271)/C271</f>
        <v/>
      </c>
      <c r="F272" s="28">
        <f>(D272-D271)/D271</f>
        <v/>
      </c>
      <c r="G272" s="29">
        <f>E272-$H$27</f>
        <v/>
      </c>
      <c r="H272" s="29">
        <f>F272-$H$28</f>
        <v/>
      </c>
    </row>
    <row r="273" ht="15" customHeight="1">
      <c r="B273" s="24" t="n">
        <v>44575</v>
      </c>
      <c r="C273" s="25" t="n">
        <v>1076.19</v>
      </c>
      <c r="D273" s="25" t="n">
        <v>23060.62</v>
      </c>
      <c r="E273" s="30">
        <f>(C273-C272)/C272</f>
        <v/>
      </c>
      <c r="F273" s="30">
        <f>(D273-D272)/D272</f>
        <v/>
      </c>
      <c r="G273" s="29">
        <f>E273-$H$27</f>
        <v/>
      </c>
      <c r="H273" s="29">
        <f>F273-$H$28</f>
        <v/>
      </c>
    </row>
    <row r="274" ht="15" customHeight="1">
      <c r="B274" s="26" t="n">
        <v>44578</v>
      </c>
      <c r="C274" s="27" t="n">
        <v>1124.27</v>
      </c>
      <c r="D274" s="27" t="n">
        <v>23094.95</v>
      </c>
      <c r="E274" s="28">
        <f>(C274-C273)/C273</f>
        <v/>
      </c>
      <c r="F274" s="28">
        <f>(D274-D273)/D273</f>
        <v/>
      </c>
      <c r="G274" s="29">
        <f>E274-$H$27</f>
        <v/>
      </c>
      <c r="H274" s="29">
        <f>F274-$H$28</f>
        <v/>
      </c>
    </row>
    <row r="275" ht="15" customHeight="1">
      <c r="B275" s="24" t="n">
        <v>44579</v>
      </c>
      <c r="C275" s="25" t="n">
        <v>1136.26</v>
      </c>
      <c r="D275" s="25" t="n">
        <v>22847.93</v>
      </c>
      <c r="E275" s="30">
        <f>(C275-C274)/C274</f>
        <v/>
      </c>
      <c r="F275" s="30">
        <f>(D275-D274)/D274</f>
        <v/>
      </c>
      <c r="G275" s="29">
        <f>E275-$H$27</f>
        <v/>
      </c>
      <c r="H275" s="29">
        <f>F275-$H$28</f>
        <v/>
      </c>
    </row>
    <row r="276" ht="15" customHeight="1">
      <c r="B276" s="26" t="n">
        <v>44580</v>
      </c>
      <c r="C276" s="27" t="n">
        <v>1156.61</v>
      </c>
      <c r="D276" s="27" t="n">
        <v>22626.45</v>
      </c>
      <c r="E276" s="28">
        <f>(C276-C275)/C275</f>
        <v/>
      </c>
      <c r="F276" s="28">
        <f>(D276-D275)/D275</f>
        <v/>
      </c>
      <c r="G276" s="29">
        <f>E276-$H$27</f>
        <v/>
      </c>
      <c r="H276" s="29">
        <f>F276-$H$28</f>
        <v/>
      </c>
    </row>
    <row r="277" ht="15" customHeight="1">
      <c r="B277" s="24" t="n">
        <v>44581</v>
      </c>
      <c r="C277" s="25" t="n">
        <v>1180.75</v>
      </c>
      <c r="D277" s="25" t="n">
        <v>23002.75</v>
      </c>
      <c r="E277" s="30">
        <f>(C277-C276)/C276</f>
        <v/>
      </c>
      <c r="F277" s="30">
        <f>(D277-D276)/D276</f>
        <v/>
      </c>
      <c r="G277" s="29">
        <f>E277-$H$27</f>
        <v/>
      </c>
      <c r="H277" s="29">
        <f>F277-$H$28</f>
        <v/>
      </c>
    </row>
    <row r="278" ht="15" customHeight="1">
      <c r="B278" s="26" t="n">
        <v>44582</v>
      </c>
      <c r="C278" s="27" t="n">
        <v>1180.73</v>
      </c>
      <c r="D278" s="27" t="n">
        <v>23052.51</v>
      </c>
      <c r="E278" s="28">
        <f>(C278-C277)/C277</f>
        <v/>
      </c>
      <c r="F278" s="28">
        <f>(D278-D277)/D277</f>
        <v/>
      </c>
      <c r="G278" s="29">
        <f>E278-$H$27</f>
        <v/>
      </c>
      <c r="H278" s="29">
        <f>F278-$H$28</f>
        <v/>
      </c>
    </row>
    <row r="279" ht="15" customHeight="1">
      <c r="B279" s="24" t="n">
        <v>44585</v>
      </c>
      <c r="C279" s="25" t="n">
        <v>1190.9</v>
      </c>
      <c r="D279" s="25" t="n">
        <v>23292.1</v>
      </c>
      <c r="E279" s="30">
        <f>(C279-C278)/C278</f>
        <v/>
      </c>
      <c r="F279" s="30">
        <f>(D279-D278)/D278</f>
        <v/>
      </c>
      <c r="G279" s="29">
        <f>E279-$H$27</f>
        <v/>
      </c>
      <c r="H279" s="29">
        <f>F279-$H$28</f>
        <v/>
      </c>
    </row>
    <row r="280" ht="15" customHeight="1">
      <c r="B280" s="26" t="n">
        <v>44586</v>
      </c>
      <c r="C280" s="27" t="n">
        <v>1194.56</v>
      </c>
      <c r="D280" s="27" t="n">
        <v>23109.17</v>
      </c>
      <c r="E280" s="28">
        <f>(C280-C279)/C279</f>
        <v/>
      </c>
      <c r="F280" s="28">
        <f>(D280-D279)/D279</f>
        <v/>
      </c>
      <c r="G280" s="29">
        <f>E280-$H$27</f>
        <v/>
      </c>
      <c r="H280" s="29">
        <f>F280-$H$28</f>
        <v/>
      </c>
    </row>
    <row r="281" ht="15" customHeight="1">
      <c r="B281" s="24" t="n">
        <v>44587</v>
      </c>
      <c r="C281" s="25" t="n">
        <v>1186.97</v>
      </c>
      <c r="D281" s="25" t="n">
        <v>23059.26</v>
      </c>
      <c r="E281" s="30">
        <f>(C281-C280)/C280</f>
        <v/>
      </c>
      <c r="F281" s="30">
        <f>(D281-D280)/D280</f>
        <v/>
      </c>
      <c r="G281" s="29">
        <f>E281-$H$27</f>
        <v/>
      </c>
      <c r="H281" s="29">
        <f>F281-$H$28</f>
        <v/>
      </c>
    </row>
    <row r="282" ht="15" customHeight="1">
      <c r="B282" s="26" t="n">
        <v>44588</v>
      </c>
      <c r="C282" s="27" t="n">
        <v>1209.1</v>
      </c>
      <c r="D282" s="27" t="n">
        <v>22607.03</v>
      </c>
      <c r="E282" s="28">
        <f>(C282-C281)/C281</f>
        <v/>
      </c>
      <c r="F282" s="28">
        <f>(D282-D281)/D281</f>
        <v/>
      </c>
      <c r="G282" s="29">
        <f>E282-$H$27</f>
        <v/>
      </c>
      <c r="H282" s="29">
        <f>F282-$H$28</f>
        <v/>
      </c>
    </row>
    <row r="283" ht="15" customHeight="1">
      <c r="B283" s="24" t="n">
        <v>44589</v>
      </c>
      <c r="C283" s="25" t="n">
        <v>1184.65</v>
      </c>
      <c r="D283" s="25" t="n">
        <v>22265.3</v>
      </c>
      <c r="E283" s="30">
        <f>(C283-C282)/C282</f>
        <v/>
      </c>
      <c r="F283" s="30">
        <f>(D283-D282)/D282</f>
        <v/>
      </c>
      <c r="G283" s="29">
        <f>E283-$H$27</f>
        <v/>
      </c>
      <c r="H283" s="29">
        <f>F283-$H$28</f>
        <v/>
      </c>
    </row>
    <row r="284" ht="15" customHeight="1">
      <c r="B284" s="26" t="n">
        <v>44592</v>
      </c>
      <c r="C284" s="27" t="n">
        <v>1177.92</v>
      </c>
      <c r="D284" s="27" t="n">
        <v>22341.47</v>
      </c>
      <c r="E284" s="28">
        <f>(C284-C283)/C283</f>
        <v/>
      </c>
      <c r="F284" s="28">
        <f>(D284-D283)/D283</f>
        <v/>
      </c>
      <c r="G284" s="29">
        <f>E284-$H$27</f>
        <v/>
      </c>
      <c r="H284" s="29">
        <f>F284-$H$28</f>
        <v/>
      </c>
    </row>
    <row r="285" ht="15" customHeight="1">
      <c r="B285" s="24" t="n">
        <v>44593</v>
      </c>
      <c r="C285" s="25" t="n">
        <v>1159.44</v>
      </c>
      <c r="D285" s="25" t="n">
        <v>22412.85</v>
      </c>
      <c r="E285" s="30">
        <f>(C285-C284)/C284</f>
        <v/>
      </c>
      <c r="F285" s="30">
        <f>(D285-D284)/D284</f>
        <v/>
      </c>
      <c r="G285" s="29">
        <f>E285-$H$27</f>
        <v/>
      </c>
      <c r="H285" s="29">
        <f>F285-$H$28</f>
        <v/>
      </c>
    </row>
    <row r="286" ht="15" customHeight="1">
      <c r="B286" s="26" t="n">
        <v>44594</v>
      </c>
      <c r="C286" s="27" t="n">
        <v>1150.19</v>
      </c>
      <c r="D286" s="27" t="n">
        <v>22315.47</v>
      </c>
      <c r="E286" s="28">
        <f>(C286-C285)/C285</f>
        <v/>
      </c>
      <c r="F286" s="28">
        <f>(D286-D285)/D285</f>
        <v/>
      </c>
      <c r="G286" s="29">
        <f>E286-$H$27</f>
        <v/>
      </c>
      <c r="H286" s="29">
        <f>F286-$H$28</f>
        <v/>
      </c>
    </row>
    <row r="287" ht="15" customHeight="1">
      <c r="B287" s="24" t="n">
        <v>44595</v>
      </c>
      <c r="C287" s="25" t="n">
        <v>1168.05</v>
      </c>
      <c r="D287" s="25" t="n">
        <v>22227.92</v>
      </c>
      <c r="E287" s="30">
        <f>(C287-C286)/C286</f>
        <v/>
      </c>
      <c r="F287" s="30">
        <f>(D287-D286)/D286</f>
        <v/>
      </c>
      <c r="G287" s="29">
        <f>E287-$H$27</f>
        <v/>
      </c>
      <c r="H287" s="29">
        <f>F287-$H$28</f>
        <v/>
      </c>
    </row>
    <row r="288" ht="15" customHeight="1">
      <c r="B288" s="26" t="n">
        <v>44596</v>
      </c>
      <c r="C288" s="27" t="n">
        <v>1157.6</v>
      </c>
      <c r="D288" s="27" t="n">
        <v>22235.21</v>
      </c>
      <c r="E288" s="28">
        <f>(C288-C287)/C287</f>
        <v/>
      </c>
      <c r="F288" s="28">
        <f>(D288-D287)/D287</f>
        <v/>
      </c>
      <c r="G288" s="29">
        <f>E288-$H$27</f>
        <v/>
      </c>
      <c r="H288" s="29">
        <f>F288-$H$28</f>
        <v/>
      </c>
    </row>
    <row r="289" ht="15" customHeight="1">
      <c r="B289" s="24" t="n">
        <v>44599</v>
      </c>
      <c r="C289" s="25" t="n">
        <v>1181.77</v>
      </c>
      <c r="D289" s="25" t="n">
        <v>22520.4</v>
      </c>
      <c r="E289" s="30">
        <f>(C289-C288)/C288</f>
        <v/>
      </c>
      <c r="F289" s="30">
        <f>(D289-D288)/D288</f>
        <v/>
      </c>
      <c r="G289" s="29">
        <f>E289-$H$27</f>
        <v/>
      </c>
      <c r="H289" s="29">
        <f>F289-$H$28</f>
        <v/>
      </c>
    </row>
    <row r="290" ht="15" customHeight="1">
      <c r="B290" s="26" t="n">
        <v>44600</v>
      </c>
      <c r="C290" s="27" t="n">
        <v>1201.48</v>
      </c>
      <c r="D290" s="27" t="n">
        <v>22468.62</v>
      </c>
      <c r="E290" s="28">
        <f>(C290-C289)/C289</f>
        <v/>
      </c>
      <c r="F290" s="28">
        <f>(D290-D289)/D289</f>
        <v/>
      </c>
      <c r="G290" s="29">
        <f>E290-$H$27</f>
        <v/>
      </c>
      <c r="H290" s="29">
        <f>F290-$H$28</f>
        <v/>
      </c>
    </row>
    <row r="291" ht="15" customHeight="1">
      <c r="B291" s="24" t="n">
        <v>44601</v>
      </c>
      <c r="C291" s="25" t="n">
        <v>1217.08</v>
      </c>
      <c r="D291" s="25" t="n">
        <v>22949.8</v>
      </c>
      <c r="E291" s="30">
        <f>(C291-C290)/C290</f>
        <v/>
      </c>
      <c r="F291" s="30">
        <f>(D291-D290)/D290</f>
        <v/>
      </c>
      <c r="G291" s="29">
        <f>E291-$H$27</f>
        <v/>
      </c>
      <c r="H291" s="29">
        <f>F291-$H$28</f>
        <v/>
      </c>
    </row>
    <row r="292" ht="15" customHeight="1">
      <c r="B292" s="26" t="n">
        <v>44602</v>
      </c>
      <c r="C292" s="27" t="n">
        <v>1240.77</v>
      </c>
      <c r="D292" s="27" t="n">
        <v>22774.7</v>
      </c>
      <c r="E292" s="28">
        <f>(C292-C291)/C291</f>
        <v/>
      </c>
      <c r="F292" s="28">
        <f>(D292-D291)/D291</f>
        <v/>
      </c>
      <c r="G292" s="29">
        <f>E292-$H$27</f>
        <v/>
      </c>
      <c r="H292" s="29">
        <f>F292-$H$28</f>
        <v/>
      </c>
    </row>
    <row r="293" ht="15" customHeight="1">
      <c r="B293" s="24" t="n">
        <v>44603</v>
      </c>
      <c r="C293" s="25" t="n">
        <v>1216.43</v>
      </c>
      <c r="D293" s="25" t="n">
        <v>22838.09</v>
      </c>
      <c r="E293" s="30">
        <f>(C293-C292)/C292</f>
        <v/>
      </c>
      <c r="F293" s="30">
        <f>(D293-D292)/D292</f>
        <v/>
      </c>
      <c r="G293" s="29">
        <f>E293-$H$27</f>
        <v/>
      </c>
      <c r="H293" s="29">
        <f>F293-$H$28</f>
        <v/>
      </c>
    </row>
    <row r="294" ht="15" customHeight="1">
      <c r="B294" s="26" t="n">
        <v>44606</v>
      </c>
      <c r="C294" s="27" t="n">
        <v>1195.14</v>
      </c>
      <c r="D294" s="27" t="n">
        <v>22893.12</v>
      </c>
      <c r="E294" s="28">
        <f>(C294-C293)/C293</f>
        <v/>
      </c>
      <c r="F294" s="28">
        <f>(D294-D293)/D293</f>
        <v/>
      </c>
      <c r="G294" s="29">
        <f>E294-$H$27</f>
        <v/>
      </c>
      <c r="H294" s="29">
        <f>F294-$H$28</f>
        <v/>
      </c>
    </row>
    <row r="295" ht="15" customHeight="1">
      <c r="B295" s="24" t="n">
        <v>44607</v>
      </c>
      <c r="C295" s="25" t="n">
        <v>1190.57</v>
      </c>
      <c r="D295" s="25" t="n">
        <v>22404.2</v>
      </c>
      <c r="E295" s="30">
        <f>(C295-C294)/C294</f>
        <v/>
      </c>
      <c r="F295" s="30">
        <f>(D295-D294)/D294</f>
        <v/>
      </c>
      <c r="G295" s="29">
        <f>E295-$H$27</f>
        <v/>
      </c>
      <c r="H295" s="29">
        <f>F295-$H$28</f>
        <v/>
      </c>
    </row>
    <row r="296" ht="15" customHeight="1">
      <c r="B296" s="26" t="n">
        <v>44608</v>
      </c>
      <c r="C296" s="27" t="n">
        <v>1220.36</v>
      </c>
      <c r="D296" s="27" t="n">
        <v>22125.35</v>
      </c>
      <c r="E296" s="28">
        <f>(C296-C295)/C295</f>
        <v/>
      </c>
      <c r="F296" s="28">
        <f>(D296-D295)/D295</f>
        <v/>
      </c>
      <c r="G296" s="29">
        <f>E296-$H$27</f>
        <v/>
      </c>
      <c r="H296" s="29">
        <f>F296-$H$28</f>
        <v/>
      </c>
    </row>
    <row r="297" ht="15" customHeight="1">
      <c r="B297" s="24" t="n">
        <v>44609</v>
      </c>
      <c r="C297" s="25" t="n">
        <v>1205.93</v>
      </c>
      <c r="D297" s="25" t="n">
        <v>21904.83</v>
      </c>
      <c r="E297" s="30">
        <f>(C297-C296)/C296</f>
        <v/>
      </c>
      <c r="F297" s="30">
        <f>(D297-D296)/D296</f>
        <v/>
      </c>
      <c r="G297" s="29">
        <f>E297-$H$27</f>
        <v/>
      </c>
      <c r="H297" s="29">
        <f>F297-$H$28</f>
        <v/>
      </c>
    </row>
    <row r="298" ht="15" customHeight="1">
      <c r="B298" s="26" t="n">
        <v>44610</v>
      </c>
      <c r="C298" s="27" t="n">
        <v>1181.69</v>
      </c>
      <c r="D298" s="27" t="n">
        <v>21937.62</v>
      </c>
      <c r="E298" s="28">
        <f>(C298-C297)/C297</f>
        <v/>
      </c>
      <c r="F298" s="28">
        <f>(D298-D297)/D297</f>
        <v/>
      </c>
      <c r="G298" s="29">
        <f>E298-$H$27</f>
        <v/>
      </c>
      <c r="H298" s="29">
        <f>F298-$H$28</f>
        <v/>
      </c>
    </row>
    <row r="299" ht="15" customHeight="1">
      <c r="B299" s="24" t="n">
        <v>44613</v>
      </c>
      <c r="C299" s="25" t="n">
        <v>1167.45</v>
      </c>
      <c r="D299" s="25" t="n">
        <v>21949.76</v>
      </c>
      <c r="E299" s="30">
        <f>(C299-C298)/C298</f>
        <v/>
      </c>
      <c r="F299" s="30">
        <f>(D299-D298)/D298</f>
        <v/>
      </c>
      <c r="G299" s="29">
        <f>E299-$H$27</f>
        <v/>
      </c>
      <c r="H299" s="29">
        <f>F299-$H$28</f>
        <v/>
      </c>
    </row>
    <row r="300" ht="15" customHeight="1">
      <c r="B300" s="26" t="n">
        <v>44614</v>
      </c>
      <c r="C300" s="27" t="n">
        <v>1189.1</v>
      </c>
      <c r="D300" s="27" t="n">
        <v>22212.15</v>
      </c>
      <c r="E300" s="28">
        <f>(C300-C299)/C299</f>
        <v/>
      </c>
      <c r="F300" s="28">
        <f>(D300-D299)/D299</f>
        <v/>
      </c>
      <c r="G300" s="29">
        <f>E300-$H$27</f>
        <v/>
      </c>
      <c r="H300" s="29">
        <f>F300-$H$28</f>
        <v/>
      </c>
    </row>
    <row r="301" ht="15" customHeight="1">
      <c r="B301" s="24" t="n">
        <v>44615</v>
      </c>
      <c r="C301" s="25" t="n">
        <v>1203.65</v>
      </c>
      <c r="D301" s="25" t="n">
        <v>22350.61</v>
      </c>
      <c r="E301" s="30">
        <f>(C301-C300)/C300</f>
        <v/>
      </c>
      <c r="F301" s="30">
        <f>(D301-D300)/D300</f>
        <v/>
      </c>
      <c r="G301" s="29">
        <f>E301-$H$27</f>
        <v/>
      </c>
      <c r="H301" s="29">
        <f>F301-$H$28</f>
        <v/>
      </c>
    </row>
    <row r="302" ht="15" customHeight="1">
      <c r="B302" s="26" t="n">
        <v>44616</v>
      </c>
      <c r="C302" s="27" t="n">
        <v>1228.96</v>
      </c>
      <c r="D302" s="27" t="n">
        <v>22273.19</v>
      </c>
      <c r="E302" s="28">
        <f>(C302-C301)/C301</f>
        <v/>
      </c>
      <c r="F302" s="28">
        <f>(D302-D301)/D301</f>
        <v/>
      </c>
      <c r="G302" s="29">
        <f>E302-$H$27</f>
        <v/>
      </c>
      <c r="H302" s="29">
        <f>F302-$H$28</f>
        <v/>
      </c>
    </row>
    <row r="303" ht="15" customHeight="1">
      <c r="B303" s="24" t="n">
        <v>44617</v>
      </c>
      <c r="C303" s="25" t="n">
        <v>1229.99</v>
      </c>
      <c r="D303" s="25" t="n">
        <v>22250.96</v>
      </c>
      <c r="E303" s="30">
        <f>(C303-C302)/C302</f>
        <v/>
      </c>
      <c r="F303" s="30">
        <f>(D303-D302)/D302</f>
        <v/>
      </c>
      <c r="G303" s="29">
        <f>E303-$H$27</f>
        <v/>
      </c>
      <c r="H303" s="29">
        <f>F303-$H$28</f>
        <v/>
      </c>
    </row>
    <row r="304" ht="15" customHeight="1">
      <c r="B304" s="26" t="n">
        <v>44620</v>
      </c>
      <c r="C304" s="27" t="n">
        <v>1241.22</v>
      </c>
      <c r="D304" s="27" t="n">
        <v>22217.39</v>
      </c>
      <c r="E304" s="28">
        <f>(C304-C303)/C303</f>
        <v/>
      </c>
      <c r="F304" s="28">
        <f>(D304-D303)/D303</f>
        <v/>
      </c>
      <c r="G304" s="29">
        <f>E304-$H$27</f>
        <v/>
      </c>
      <c r="H304" s="29">
        <f>F304-$H$28</f>
        <v/>
      </c>
    </row>
    <row r="305" ht="15" customHeight="1">
      <c r="B305" s="24" t="n">
        <v>44621</v>
      </c>
      <c r="C305" s="25" t="n">
        <v>1213.62</v>
      </c>
      <c r="D305" s="25" t="n">
        <v>21974.86</v>
      </c>
      <c r="E305" s="30">
        <f>(C305-C304)/C304</f>
        <v/>
      </c>
      <c r="F305" s="30">
        <f>(D305-D304)/D304</f>
        <v/>
      </c>
      <c r="G305" s="29">
        <f>E305-$H$27</f>
        <v/>
      </c>
      <c r="H305" s="29">
        <f>F305-$H$28</f>
        <v/>
      </c>
    </row>
    <row r="306" ht="15" customHeight="1">
      <c r="B306" s="26" t="n">
        <v>44622</v>
      </c>
      <c r="C306" s="27" t="n">
        <v>1203.77</v>
      </c>
      <c r="D306" s="27" t="n">
        <v>21858.04</v>
      </c>
      <c r="E306" s="28">
        <f>(C306-C305)/C305</f>
        <v/>
      </c>
      <c r="F306" s="28">
        <f>(D306-D305)/D305</f>
        <v/>
      </c>
      <c r="G306" s="29">
        <f>E306-$H$27</f>
        <v/>
      </c>
      <c r="H306" s="29">
        <f>F306-$H$28</f>
        <v/>
      </c>
    </row>
    <row r="307" ht="15" customHeight="1">
      <c r="B307" s="24" t="n">
        <v>44623</v>
      </c>
      <c r="C307" s="25" t="n">
        <v>1193.48</v>
      </c>
      <c r="D307" s="25" t="n">
        <v>21655.96</v>
      </c>
      <c r="E307" s="30">
        <f>(C307-C306)/C306</f>
        <v/>
      </c>
      <c r="F307" s="30">
        <f>(D307-D306)/D306</f>
        <v/>
      </c>
      <c r="G307" s="29">
        <f>E307-$H$27</f>
        <v/>
      </c>
      <c r="H307" s="29">
        <f>F307-$H$28</f>
        <v/>
      </c>
    </row>
    <row r="308" ht="15" customHeight="1">
      <c r="B308" s="26" t="n">
        <v>44624</v>
      </c>
      <c r="C308" s="27" t="n">
        <v>1183.57</v>
      </c>
      <c r="D308" s="27" t="n">
        <v>21478.82</v>
      </c>
      <c r="E308" s="28">
        <f>(C308-C307)/C307</f>
        <v/>
      </c>
      <c r="F308" s="28">
        <f>(D308-D307)/D307</f>
        <v/>
      </c>
      <c r="G308" s="29">
        <f>E308-$H$27</f>
        <v/>
      </c>
      <c r="H308" s="29">
        <f>F308-$H$28</f>
        <v/>
      </c>
    </row>
    <row r="309" ht="15" customHeight="1">
      <c r="B309" s="24" t="n">
        <v>44627</v>
      </c>
      <c r="C309" s="25" t="n">
        <v>1188.89</v>
      </c>
      <c r="D309" s="25" t="n">
        <v>21682.79</v>
      </c>
      <c r="E309" s="30">
        <f>(C309-C308)/C308</f>
        <v/>
      </c>
      <c r="F309" s="30">
        <f>(D309-D308)/D308</f>
        <v/>
      </c>
      <c r="G309" s="29">
        <f>E309-$H$27</f>
        <v/>
      </c>
      <c r="H309" s="29">
        <f>F309-$H$28</f>
        <v/>
      </c>
    </row>
    <row r="310" ht="15" customHeight="1">
      <c r="B310" s="26" t="n">
        <v>44628</v>
      </c>
      <c r="C310" s="27" t="n">
        <v>1191.15</v>
      </c>
      <c r="D310" s="27" t="n">
        <v>22028.51</v>
      </c>
      <c r="E310" s="28">
        <f>(C310-C309)/C309</f>
        <v/>
      </c>
      <c r="F310" s="28">
        <f>(D310-D309)/D309</f>
        <v/>
      </c>
      <c r="G310" s="29">
        <f>E310-$H$27</f>
        <v/>
      </c>
      <c r="H310" s="29">
        <f>F310-$H$28</f>
        <v/>
      </c>
    </row>
    <row r="311" ht="15" customHeight="1">
      <c r="B311" s="24" t="n">
        <v>44629</v>
      </c>
      <c r="C311" s="25" t="n">
        <v>1186.65</v>
      </c>
      <c r="D311" s="25" t="n">
        <v>22023.13</v>
      </c>
      <c r="E311" s="30">
        <f>(C311-C310)/C310</f>
        <v/>
      </c>
      <c r="F311" s="30">
        <f>(D311-D310)/D310</f>
        <v/>
      </c>
      <c r="G311" s="29">
        <f>E311-$H$27</f>
        <v/>
      </c>
      <c r="H311" s="29">
        <f>F311-$H$28</f>
        <v/>
      </c>
    </row>
    <row r="312" ht="15" customHeight="1">
      <c r="B312" s="26" t="n">
        <v>44630</v>
      </c>
      <c r="C312" s="27" t="n">
        <v>1198.51</v>
      </c>
      <c r="D312" s="27" t="n">
        <v>22124.84</v>
      </c>
      <c r="E312" s="28">
        <f>(C312-C311)/C311</f>
        <v/>
      </c>
      <c r="F312" s="28">
        <f>(D312-D311)/D311</f>
        <v/>
      </c>
      <c r="G312" s="29">
        <f>E312-$H$27</f>
        <v/>
      </c>
      <c r="H312" s="29">
        <f>F312-$H$28</f>
        <v/>
      </c>
    </row>
    <row r="313" ht="15" customHeight="1">
      <c r="B313" s="24" t="n">
        <v>44631</v>
      </c>
      <c r="C313" s="25" t="n">
        <v>1177.96</v>
      </c>
      <c r="D313" s="25" t="n">
        <v>22501.58</v>
      </c>
      <c r="E313" s="30">
        <f>(C313-C312)/C312</f>
        <v/>
      </c>
      <c r="F313" s="30">
        <f>(D313-D312)/D312</f>
        <v/>
      </c>
      <c r="G313" s="29">
        <f>E313-$H$27</f>
        <v/>
      </c>
      <c r="H313" s="29">
        <f>F313-$H$28</f>
        <v/>
      </c>
    </row>
    <row r="314" ht="15" customHeight="1">
      <c r="B314" s="26" t="n">
        <v>44634</v>
      </c>
      <c r="C314" s="27" t="n">
        <v>1171</v>
      </c>
      <c r="D314" s="27" t="n">
        <v>22546.52</v>
      </c>
      <c r="E314" s="28">
        <f>(C314-C313)/C313</f>
        <v/>
      </c>
      <c r="F314" s="28">
        <f>(D314-D313)/D313</f>
        <v/>
      </c>
      <c r="G314" s="29">
        <f>E314-$H$27</f>
        <v/>
      </c>
      <c r="H314" s="29">
        <f>F314-$H$28</f>
        <v/>
      </c>
    </row>
    <row r="315" ht="15" customHeight="1">
      <c r="B315" s="24" t="n">
        <v>44635</v>
      </c>
      <c r="C315" s="25" t="n">
        <v>1174.25</v>
      </c>
      <c r="D315" s="25" t="n">
        <v>22564.78</v>
      </c>
      <c r="E315" s="30">
        <f>(C315-C314)/C314</f>
        <v/>
      </c>
      <c r="F315" s="30">
        <f>(D315-D314)/D314</f>
        <v/>
      </c>
      <c r="G315" s="29">
        <f>E315-$H$27</f>
        <v/>
      </c>
      <c r="H315" s="29">
        <f>F315-$H$28</f>
        <v/>
      </c>
    </row>
    <row r="316" ht="15" customHeight="1">
      <c r="B316" s="26" t="n">
        <v>44636</v>
      </c>
      <c r="C316" s="27" t="n">
        <v>1182.85</v>
      </c>
      <c r="D316" s="27" t="n">
        <v>22879.49</v>
      </c>
      <c r="E316" s="28">
        <f>(C316-C315)/C315</f>
        <v/>
      </c>
      <c r="F316" s="28">
        <f>(D316-D315)/D315</f>
        <v/>
      </c>
      <c r="G316" s="29">
        <f>E316-$H$27</f>
        <v/>
      </c>
      <c r="H316" s="29">
        <f>F316-$H$28</f>
        <v/>
      </c>
    </row>
    <row r="317" ht="15" customHeight="1">
      <c r="B317" s="24" t="n">
        <v>44637</v>
      </c>
      <c r="C317" s="25" t="n">
        <v>1200.33</v>
      </c>
      <c r="D317" s="25" t="n">
        <v>22650.3</v>
      </c>
      <c r="E317" s="30">
        <f>(C317-C316)/C316</f>
        <v/>
      </c>
      <c r="F317" s="30">
        <f>(D317-D316)/D316</f>
        <v/>
      </c>
      <c r="G317" s="29">
        <f>E317-$H$27</f>
        <v/>
      </c>
      <c r="H317" s="29">
        <f>F317-$H$28</f>
        <v/>
      </c>
    </row>
    <row r="318" ht="15" customHeight="1">
      <c r="B318" s="26" t="n">
        <v>44638</v>
      </c>
      <c r="C318" s="27" t="n">
        <v>1201.53</v>
      </c>
      <c r="D318" s="27" t="n">
        <v>22450.16</v>
      </c>
      <c r="E318" s="28">
        <f>(C318-C317)/C317</f>
        <v/>
      </c>
      <c r="F318" s="28">
        <f>(D318-D317)/D317</f>
        <v/>
      </c>
      <c r="G318" s="29">
        <f>E318-$H$27</f>
        <v/>
      </c>
      <c r="H318" s="29">
        <f>F318-$H$28</f>
        <v/>
      </c>
    </row>
    <row r="319" ht="15" customHeight="1">
      <c r="B319" s="24" t="n">
        <v>44641</v>
      </c>
      <c r="C319" s="25" t="n">
        <v>1200.94</v>
      </c>
      <c r="D319" s="25" t="n">
        <v>22545.86</v>
      </c>
      <c r="E319" s="30">
        <f>(C319-C318)/C318</f>
        <v/>
      </c>
      <c r="F319" s="30">
        <f>(D319-D318)/D318</f>
        <v/>
      </c>
      <c r="G319" s="29">
        <f>E319-$H$27</f>
        <v/>
      </c>
      <c r="H319" s="29">
        <f>F319-$H$28</f>
        <v/>
      </c>
    </row>
    <row r="320" ht="15" customHeight="1">
      <c r="B320" s="26" t="n">
        <v>44642</v>
      </c>
      <c r="C320" s="27" t="n">
        <v>1185.65</v>
      </c>
      <c r="D320" s="27" t="n">
        <v>22689.22</v>
      </c>
      <c r="E320" s="28">
        <f>(C320-C319)/C319</f>
        <v/>
      </c>
      <c r="F320" s="28">
        <f>(D320-D319)/D319</f>
        <v/>
      </c>
      <c r="G320" s="29">
        <f>E320-$H$27</f>
        <v/>
      </c>
      <c r="H320" s="29">
        <f>F320-$H$28</f>
        <v/>
      </c>
    </row>
    <row r="321" ht="15" customHeight="1">
      <c r="B321" s="24" t="n">
        <v>44643</v>
      </c>
      <c r="C321" s="25" t="n">
        <v>1151.95</v>
      </c>
      <c r="D321" s="25" t="n">
        <v>22743.78</v>
      </c>
      <c r="E321" s="30">
        <f>(C321-C320)/C320</f>
        <v/>
      </c>
      <c r="F321" s="30">
        <f>(D321-D320)/D320</f>
        <v/>
      </c>
      <c r="G321" s="29">
        <f>E321-$H$27</f>
        <v/>
      </c>
      <c r="H321" s="29">
        <f>F321-$H$28</f>
        <v/>
      </c>
    </row>
    <row r="322" ht="15" customHeight="1">
      <c r="B322" s="26" t="n">
        <v>44644</v>
      </c>
      <c r="C322" s="27" t="n">
        <v>1114.45</v>
      </c>
      <c r="D322" s="27" t="n">
        <v>22597.69</v>
      </c>
      <c r="E322" s="28">
        <f>(C322-C321)/C321</f>
        <v/>
      </c>
      <c r="F322" s="28">
        <f>(D322-D321)/D321</f>
        <v/>
      </c>
      <c r="G322" s="29">
        <f>E322-$H$27</f>
        <v/>
      </c>
      <c r="H322" s="29">
        <f>F322-$H$28</f>
        <v/>
      </c>
    </row>
    <row r="323" ht="15" customHeight="1">
      <c r="B323" s="24" t="n">
        <v>44645</v>
      </c>
      <c r="C323" s="25" t="n">
        <v>1152.74</v>
      </c>
      <c r="D323" s="25" t="n">
        <v>22309.85</v>
      </c>
      <c r="E323" s="30">
        <f>(C323-C322)/C322</f>
        <v/>
      </c>
      <c r="F323" s="30">
        <f>(D323-D322)/D322</f>
        <v/>
      </c>
      <c r="G323" s="29">
        <f>E323-$H$27</f>
        <v/>
      </c>
      <c r="H323" s="29">
        <f>F323-$H$28</f>
        <v/>
      </c>
    </row>
    <row r="324" ht="15" customHeight="1">
      <c r="B324" s="26" t="n">
        <v>44648</v>
      </c>
      <c r="C324" s="27" t="n">
        <v>1198.89</v>
      </c>
      <c r="D324" s="27" t="n">
        <v>22427.65</v>
      </c>
      <c r="E324" s="28">
        <f>(C324-C323)/C323</f>
        <v/>
      </c>
      <c r="F324" s="28">
        <f>(D324-D323)/D323</f>
        <v/>
      </c>
      <c r="G324" s="29">
        <f>E324-$H$27</f>
        <v/>
      </c>
      <c r="H324" s="29">
        <f>F324-$H$28</f>
        <v/>
      </c>
    </row>
    <row r="325" ht="15" customHeight="1">
      <c r="B325" s="24" t="n">
        <v>44649</v>
      </c>
      <c r="C325" s="25" t="n">
        <v>1203.81</v>
      </c>
      <c r="D325" s="25" t="n">
        <v>22569.41</v>
      </c>
      <c r="E325" s="30">
        <f>(C325-C324)/C324</f>
        <v/>
      </c>
      <c r="F325" s="30">
        <f>(D325-D324)/D324</f>
        <v/>
      </c>
      <c r="G325" s="29">
        <f>E325-$H$27</f>
        <v/>
      </c>
      <c r="H325" s="29">
        <f>F325-$H$28</f>
        <v/>
      </c>
    </row>
    <row r="326" ht="15" customHeight="1">
      <c r="B326" s="26" t="n">
        <v>44650</v>
      </c>
      <c r="C326" s="27" t="n">
        <v>1219.9</v>
      </c>
      <c r="D326" s="27" t="n">
        <v>22652.95</v>
      </c>
      <c r="E326" s="28">
        <f>(C326-C325)/C325</f>
        <v/>
      </c>
      <c r="F326" s="28">
        <f>(D326-D325)/D325</f>
        <v/>
      </c>
      <c r="G326" s="29">
        <f>E326-$H$27</f>
        <v/>
      </c>
      <c r="H326" s="29">
        <f>F326-$H$28</f>
        <v/>
      </c>
    </row>
    <row r="327" ht="15" customHeight="1">
      <c r="B327" s="24" t="n">
        <v>44651</v>
      </c>
      <c r="C327" s="25" t="n">
        <v>1194.71</v>
      </c>
      <c r="D327" s="25" t="n">
        <v>22226.61</v>
      </c>
      <c r="E327" s="30">
        <f>(C327-C326)/C326</f>
        <v/>
      </c>
      <c r="F327" s="30">
        <f>(D327-D326)/D326</f>
        <v/>
      </c>
      <c r="G327" s="29">
        <f>E327-$H$27</f>
        <v/>
      </c>
      <c r="H327" s="29">
        <f>F327-$H$28</f>
        <v/>
      </c>
    </row>
    <row r="328" ht="15" customHeight="1">
      <c r="B328" s="26" t="n">
        <v>44652</v>
      </c>
      <c r="C328" s="27" t="n">
        <v>1181.21</v>
      </c>
      <c r="D328" s="27" t="n">
        <v>22333.62</v>
      </c>
      <c r="E328" s="28">
        <f>(C328-C327)/C327</f>
        <v/>
      </c>
      <c r="F328" s="28">
        <f>(D328-D327)/D327</f>
        <v/>
      </c>
      <c r="G328" s="29">
        <f>E328-$H$27</f>
        <v/>
      </c>
      <c r="H328" s="29">
        <f>F328-$H$28</f>
        <v/>
      </c>
    </row>
    <row r="329" ht="15" customHeight="1">
      <c r="B329" s="24" t="n">
        <v>44655</v>
      </c>
      <c r="C329" s="25" t="n">
        <v>1165.74</v>
      </c>
      <c r="D329" s="25" t="n">
        <v>22146.34</v>
      </c>
      <c r="E329" s="30">
        <f>(C329-C328)/C328</f>
        <v/>
      </c>
      <c r="F329" s="30">
        <f>(D329-D328)/D328</f>
        <v/>
      </c>
      <c r="G329" s="29">
        <f>E329-$H$27</f>
        <v/>
      </c>
      <c r="H329" s="29">
        <f>F329-$H$28</f>
        <v/>
      </c>
    </row>
    <row r="330" ht="15" customHeight="1">
      <c r="B330" s="26" t="n">
        <v>44656</v>
      </c>
      <c r="C330" s="27" t="n">
        <v>1168.24</v>
      </c>
      <c r="D330" s="27" t="n">
        <v>22064.64</v>
      </c>
      <c r="E330" s="28">
        <f>(C330-C329)/C329</f>
        <v/>
      </c>
      <c r="F330" s="28">
        <f>(D330-D329)/D329</f>
        <v/>
      </c>
      <c r="G330" s="29">
        <f>E330-$H$27</f>
        <v/>
      </c>
      <c r="H330" s="29">
        <f>F330-$H$28</f>
        <v/>
      </c>
    </row>
    <row r="331" ht="15" customHeight="1">
      <c r="B331" s="24" t="n">
        <v>44657</v>
      </c>
      <c r="C331" s="25" t="n">
        <v>1204.57</v>
      </c>
      <c r="D331" s="25" t="n">
        <v>22252.55</v>
      </c>
      <c r="E331" s="30">
        <f>(C331-C330)/C330</f>
        <v/>
      </c>
      <c r="F331" s="30">
        <f>(D331-D330)/D330</f>
        <v/>
      </c>
      <c r="G331" s="29">
        <f>E331-$H$27</f>
        <v/>
      </c>
      <c r="H331" s="29">
        <f>F331-$H$28</f>
        <v/>
      </c>
    </row>
    <row r="332" ht="15" customHeight="1">
      <c r="B332" s="26" t="n">
        <v>44658</v>
      </c>
      <c r="C332" s="27" t="n">
        <v>1210.84</v>
      </c>
      <c r="D332" s="27" t="n">
        <v>22044.7</v>
      </c>
      <c r="E332" s="28">
        <f>(C332-C331)/C331</f>
        <v/>
      </c>
      <c r="F332" s="28">
        <f>(D332-D331)/D331</f>
        <v/>
      </c>
      <c r="G332" s="29">
        <f>E332-$H$27</f>
        <v/>
      </c>
      <c r="H332" s="29">
        <f>F332-$H$28</f>
        <v/>
      </c>
    </row>
    <row r="333" ht="15" customHeight="1">
      <c r="B333" s="24" t="n">
        <v>44659</v>
      </c>
      <c r="C333" s="25" t="n">
        <v>1201.41</v>
      </c>
      <c r="D333" s="25" t="n">
        <v>21680.48</v>
      </c>
      <c r="E333" s="30">
        <f>(C333-C332)/C332</f>
        <v/>
      </c>
      <c r="F333" s="30">
        <f>(D333-D332)/D332</f>
        <v/>
      </c>
      <c r="G333" s="29">
        <f>E333-$H$27</f>
        <v/>
      </c>
      <c r="H333" s="29">
        <f>F333-$H$28</f>
        <v/>
      </c>
    </row>
    <row r="334" ht="15" customHeight="1">
      <c r="B334" s="26" t="n">
        <v>44662</v>
      </c>
      <c r="C334" s="27" t="n">
        <v>1192.19</v>
      </c>
      <c r="D334" s="27" t="n">
        <v>21595.37</v>
      </c>
      <c r="E334" s="28">
        <f>(C334-C333)/C333</f>
        <v/>
      </c>
      <c r="F334" s="28">
        <f>(D334-D333)/D333</f>
        <v/>
      </c>
      <c r="G334" s="29">
        <f>E334-$H$27</f>
        <v/>
      </c>
      <c r="H334" s="29">
        <f>F334-$H$28</f>
        <v/>
      </c>
    </row>
    <row r="335" ht="15" customHeight="1">
      <c r="B335" s="24" t="n">
        <v>44663</v>
      </c>
      <c r="C335" s="25" t="n">
        <v>1203.86</v>
      </c>
      <c r="D335" s="25" t="n">
        <v>21497.19</v>
      </c>
      <c r="E335" s="30">
        <f>(C335-C334)/C334</f>
        <v/>
      </c>
      <c r="F335" s="30">
        <f>(D335-D334)/D334</f>
        <v/>
      </c>
      <c r="G335" s="29">
        <f>E335-$H$27</f>
        <v/>
      </c>
      <c r="H335" s="29">
        <f>F335-$H$28</f>
        <v/>
      </c>
    </row>
    <row r="336" ht="15" customHeight="1">
      <c r="B336" s="26" t="n">
        <v>44664</v>
      </c>
      <c r="C336" s="27" t="n">
        <v>1217.25</v>
      </c>
      <c r="D336" s="27" t="n">
        <v>21479.35</v>
      </c>
      <c r="E336" s="28">
        <f>(C336-C335)/C335</f>
        <v/>
      </c>
      <c r="F336" s="28">
        <f>(D336-D335)/D335</f>
        <v/>
      </c>
      <c r="G336" s="29">
        <f>E336-$H$27</f>
        <v/>
      </c>
      <c r="H336" s="29">
        <f>F336-$H$28</f>
        <v/>
      </c>
    </row>
    <row r="337" ht="15" customHeight="1">
      <c r="B337" s="24" t="n">
        <v>44665</v>
      </c>
      <c r="C337" s="25" t="n">
        <v>1217.48</v>
      </c>
      <c r="D337" s="25" t="n">
        <v>21702.34</v>
      </c>
      <c r="E337" s="30">
        <f>(C337-C336)/C336</f>
        <v/>
      </c>
      <c r="F337" s="30">
        <f>(D337-D336)/D336</f>
        <v/>
      </c>
      <c r="G337" s="29">
        <f>E337-$H$27</f>
        <v/>
      </c>
      <c r="H337" s="29">
        <f>F337-$H$28</f>
        <v/>
      </c>
    </row>
    <row r="338" ht="15" customHeight="1">
      <c r="B338" s="26" t="n">
        <v>44666</v>
      </c>
      <c r="C338" s="27" t="n">
        <v>1227.24</v>
      </c>
      <c r="D338" s="27" t="n">
        <v>21817.43</v>
      </c>
      <c r="E338" s="28">
        <f>(C338-C337)/C337</f>
        <v/>
      </c>
      <c r="F338" s="28">
        <f>(D338-D337)/D337</f>
        <v/>
      </c>
      <c r="G338" s="29">
        <f>E338-$H$27</f>
        <v/>
      </c>
      <c r="H338" s="29">
        <f>F338-$H$28</f>
        <v/>
      </c>
    </row>
    <row r="339" ht="15" customHeight="1">
      <c r="B339" s="24" t="n">
        <v>44669</v>
      </c>
      <c r="C339" s="25" t="n">
        <v>1198.91</v>
      </c>
      <c r="D339" s="25" t="n">
        <v>21860.43</v>
      </c>
      <c r="E339" s="30">
        <f>(C339-C338)/C338</f>
        <v/>
      </c>
      <c r="F339" s="30">
        <f>(D339-D338)/D338</f>
        <v/>
      </c>
      <c r="G339" s="29">
        <f>E339-$H$27</f>
        <v/>
      </c>
      <c r="H339" s="29">
        <f>F339-$H$28</f>
        <v/>
      </c>
    </row>
    <row r="340" ht="15" customHeight="1">
      <c r="B340" s="26" t="n">
        <v>44670</v>
      </c>
      <c r="C340" s="27" t="n">
        <v>1171.87</v>
      </c>
      <c r="D340" s="27" t="n">
        <v>21961.98</v>
      </c>
      <c r="E340" s="28">
        <f>(C340-C339)/C339</f>
        <v/>
      </c>
      <c r="F340" s="28">
        <f>(D340-D339)/D339</f>
        <v/>
      </c>
      <c r="G340" s="29">
        <f>E340-$H$27</f>
        <v/>
      </c>
      <c r="H340" s="29">
        <f>F340-$H$28</f>
        <v/>
      </c>
    </row>
    <row r="341" ht="15" customHeight="1">
      <c r="B341" s="24" t="n">
        <v>44671</v>
      </c>
      <c r="C341" s="25" t="n">
        <v>1198.74</v>
      </c>
      <c r="D341" s="25" t="n">
        <v>21433.1</v>
      </c>
      <c r="E341" s="30">
        <f>(C341-C340)/C340</f>
        <v/>
      </c>
      <c r="F341" s="30">
        <f>(D341-D340)/D340</f>
        <v/>
      </c>
      <c r="G341" s="29">
        <f>E341-$H$27</f>
        <v/>
      </c>
      <c r="H341" s="29">
        <f>F341-$H$28</f>
        <v/>
      </c>
    </row>
    <row r="342" ht="15" customHeight="1">
      <c r="B342" s="26" t="n">
        <v>44672</v>
      </c>
      <c r="C342" s="27" t="n">
        <v>1226.75</v>
      </c>
      <c r="D342" s="27" t="n">
        <v>21258.12</v>
      </c>
      <c r="E342" s="28">
        <f>(C342-C341)/C341</f>
        <v/>
      </c>
      <c r="F342" s="28">
        <f>(D342-D341)/D341</f>
        <v/>
      </c>
      <c r="G342" s="29">
        <f>E342-$H$27</f>
        <v/>
      </c>
      <c r="H342" s="29">
        <f>F342-$H$28</f>
        <v/>
      </c>
    </row>
    <row r="343" ht="15" customHeight="1">
      <c r="B343" s="24" t="n">
        <v>44673</v>
      </c>
      <c r="C343" s="25" t="n">
        <v>1234.01</v>
      </c>
      <c r="D343" s="25" t="n">
        <v>21451.43</v>
      </c>
      <c r="E343" s="30">
        <f>(C343-C342)/C342</f>
        <v/>
      </c>
      <c r="F343" s="30">
        <f>(D343-D342)/D342</f>
        <v/>
      </c>
      <c r="G343" s="29">
        <f>E343-$H$27</f>
        <v/>
      </c>
      <c r="H343" s="29">
        <f>F343-$H$28</f>
        <v/>
      </c>
    </row>
    <row r="344" ht="15" customHeight="1">
      <c r="B344" s="26" t="n">
        <v>44676</v>
      </c>
      <c r="C344" s="27" t="n">
        <v>1252.92</v>
      </c>
      <c r="D344" s="27" t="n">
        <v>21387.04</v>
      </c>
      <c r="E344" s="28">
        <f>(C344-C343)/C343</f>
        <v/>
      </c>
      <c r="F344" s="28">
        <f>(D344-D343)/D343</f>
        <v/>
      </c>
      <c r="G344" s="29">
        <f>E344-$H$27</f>
        <v/>
      </c>
      <c r="H344" s="29">
        <f>F344-$H$28</f>
        <v/>
      </c>
    </row>
    <row r="345" ht="15" customHeight="1">
      <c r="B345" s="24" t="n">
        <v>44677</v>
      </c>
      <c r="C345" s="25" t="n">
        <v>1257.48</v>
      </c>
      <c r="D345" s="25" t="n">
        <v>21383.19</v>
      </c>
      <c r="E345" s="30">
        <f>(C345-C344)/C344</f>
        <v/>
      </c>
      <c r="F345" s="30">
        <f>(D345-D344)/D344</f>
        <v/>
      </c>
      <c r="G345" s="29">
        <f>E345-$H$27</f>
        <v/>
      </c>
      <c r="H345" s="29">
        <f>F345-$H$28</f>
        <v/>
      </c>
    </row>
    <row r="346" ht="15" customHeight="1">
      <c r="B346" s="26" t="n">
        <v>44678</v>
      </c>
      <c r="C346" s="27" t="n">
        <v>1240.78</v>
      </c>
      <c r="D346" s="27" t="n">
        <v>21373.59</v>
      </c>
      <c r="E346" s="28">
        <f>(C346-C345)/C345</f>
        <v/>
      </c>
      <c r="F346" s="28">
        <f>(D346-D345)/D345</f>
        <v/>
      </c>
      <c r="G346" s="29">
        <f>E346-$H$27</f>
        <v/>
      </c>
      <c r="H346" s="29">
        <f>F346-$H$28</f>
        <v/>
      </c>
    </row>
    <row r="347" ht="15" customHeight="1">
      <c r="B347" s="24" t="n">
        <v>44679</v>
      </c>
      <c r="C347" s="25" t="n">
        <v>1196.37</v>
      </c>
      <c r="D347" s="25" t="n">
        <v>21630.95</v>
      </c>
      <c r="E347" s="30">
        <f>(C347-C346)/C346</f>
        <v/>
      </c>
      <c r="F347" s="30">
        <f>(D347-D346)/D346</f>
        <v/>
      </c>
      <c r="G347" s="29">
        <f>E347-$H$27</f>
        <v/>
      </c>
      <c r="H347" s="29">
        <f>F347-$H$28</f>
        <v/>
      </c>
    </row>
    <row r="348" ht="15" customHeight="1">
      <c r="B348" s="26" t="n">
        <v>44680</v>
      </c>
      <c r="C348" s="27" t="n">
        <v>1209.1</v>
      </c>
      <c r="D348" s="27" t="n">
        <v>21892.1</v>
      </c>
      <c r="E348" s="28">
        <f>(C348-C347)/C347</f>
        <v/>
      </c>
      <c r="F348" s="28">
        <f>(D348-D347)/D347</f>
        <v/>
      </c>
      <c r="G348" s="29">
        <f>E348-$H$27</f>
        <v/>
      </c>
      <c r="H348" s="29">
        <f>F348-$H$28</f>
        <v/>
      </c>
    </row>
    <row r="349" ht="15" customHeight="1">
      <c r="B349" s="24" t="n">
        <v>44683</v>
      </c>
      <c r="C349" s="25" t="n">
        <v>1196.61</v>
      </c>
      <c r="D349" s="25" t="n">
        <v>21814.94</v>
      </c>
      <c r="E349" s="30">
        <f>(C349-C348)/C348</f>
        <v/>
      </c>
      <c r="F349" s="30">
        <f>(D349-D348)/D348</f>
        <v/>
      </c>
      <c r="G349" s="29">
        <f>E349-$H$27</f>
        <v/>
      </c>
      <c r="H349" s="29">
        <f>F349-$H$28</f>
        <v/>
      </c>
    </row>
    <row r="350" ht="15" customHeight="1">
      <c r="B350" s="26" t="n">
        <v>44684</v>
      </c>
      <c r="C350" s="27" t="n">
        <v>1186.25</v>
      </c>
      <c r="D350" s="27" t="n">
        <v>21558.38</v>
      </c>
      <c r="E350" s="28">
        <f>(C350-C349)/C349</f>
        <v/>
      </c>
      <c r="F350" s="28">
        <f>(D350-D349)/D349</f>
        <v/>
      </c>
      <c r="G350" s="29">
        <f>E350-$H$27</f>
        <v/>
      </c>
      <c r="H350" s="29">
        <f>F350-$H$28</f>
        <v/>
      </c>
    </row>
    <row r="351" ht="15" customHeight="1">
      <c r="B351" s="24" t="n">
        <v>44685</v>
      </c>
      <c r="C351" s="25" t="n">
        <v>1194.96</v>
      </c>
      <c r="D351" s="25" t="n">
        <v>21365.47</v>
      </c>
      <c r="E351" s="30">
        <f>(C351-C350)/C350</f>
        <v/>
      </c>
      <c r="F351" s="30">
        <f>(D351-D350)/D350</f>
        <v/>
      </c>
      <c r="G351" s="29">
        <f>E351-$H$27</f>
        <v/>
      </c>
      <c r="H351" s="29">
        <f>F351-$H$28</f>
        <v/>
      </c>
    </row>
    <row r="352" ht="15" customHeight="1">
      <c r="B352" s="26" t="n">
        <v>44686</v>
      </c>
      <c r="C352" s="27" t="n">
        <v>1189.14</v>
      </c>
      <c r="D352" s="27" t="n">
        <v>21297.66</v>
      </c>
      <c r="E352" s="28">
        <f>(C352-C351)/C351</f>
        <v/>
      </c>
      <c r="F352" s="28">
        <f>(D352-D351)/D351</f>
        <v/>
      </c>
      <c r="G352" s="29">
        <f>E352-$H$27</f>
        <v/>
      </c>
      <c r="H352" s="29">
        <f>F352-$H$28</f>
        <v/>
      </c>
    </row>
    <row r="353" ht="15" customHeight="1">
      <c r="B353" s="24" t="n">
        <v>44687</v>
      </c>
      <c r="C353" s="25" t="n">
        <v>1212.01</v>
      </c>
      <c r="D353" s="25" t="n">
        <v>21361.94</v>
      </c>
      <c r="E353" s="30">
        <f>(C353-C352)/C352</f>
        <v/>
      </c>
      <c r="F353" s="30">
        <f>(D353-D352)/D352</f>
        <v/>
      </c>
      <c r="G353" s="29">
        <f>E353-$H$27</f>
        <v/>
      </c>
      <c r="H353" s="29">
        <f>F353-$H$28</f>
        <v/>
      </c>
    </row>
    <row r="354" ht="15" customHeight="1">
      <c r="B354" s="26" t="n">
        <v>44690</v>
      </c>
      <c r="C354" s="27" t="n">
        <v>1197.02</v>
      </c>
      <c r="D354" s="27" t="n">
        <v>21602.89</v>
      </c>
      <c r="E354" s="28">
        <f>(C354-C353)/C353</f>
        <v/>
      </c>
      <c r="F354" s="28">
        <f>(D354-D353)/D353</f>
        <v/>
      </c>
      <c r="G354" s="29">
        <f>E354-$H$27</f>
        <v/>
      </c>
      <c r="H354" s="29">
        <f>F354-$H$28</f>
        <v/>
      </c>
    </row>
    <row r="355" ht="15" customHeight="1">
      <c r="B355" s="24" t="n">
        <v>44691</v>
      </c>
      <c r="C355" s="25" t="n">
        <v>1191.32</v>
      </c>
      <c r="D355" s="25" t="n">
        <v>21590.32</v>
      </c>
      <c r="E355" s="30">
        <f>(C355-C354)/C354</f>
        <v/>
      </c>
      <c r="F355" s="30">
        <f>(D355-D354)/D354</f>
        <v/>
      </c>
      <c r="G355" s="29">
        <f>E355-$H$27</f>
        <v/>
      </c>
      <c r="H355" s="29">
        <f>F355-$H$28</f>
        <v/>
      </c>
    </row>
    <row r="356" ht="15" customHeight="1">
      <c r="B356" s="26" t="n">
        <v>44692</v>
      </c>
      <c r="C356" s="27" t="n">
        <v>1200.23</v>
      </c>
      <c r="D356" s="27" t="n">
        <v>21219.74</v>
      </c>
      <c r="E356" s="28">
        <f>(C356-C355)/C355</f>
        <v/>
      </c>
      <c r="F356" s="28">
        <f>(D356-D355)/D355</f>
        <v/>
      </c>
      <c r="G356" s="29">
        <f>E356-$H$27</f>
        <v/>
      </c>
      <c r="H356" s="29">
        <f>F356-$H$28</f>
        <v/>
      </c>
    </row>
    <row r="357" ht="15" customHeight="1">
      <c r="B357" s="24" t="n">
        <v>44693</v>
      </c>
      <c r="C357" s="25" t="n">
        <v>1194.77</v>
      </c>
      <c r="D357" s="25" t="n">
        <v>20877.96</v>
      </c>
      <c r="E357" s="30">
        <f>(C357-C356)/C356</f>
        <v/>
      </c>
      <c r="F357" s="30">
        <f>(D357-D356)/D356</f>
        <v/>
      </c>
      <c r="G357" s="29">
        <f>E357-$H$27</f>
        <v/>
      </c>
      <c r="H357" s="29">
        <f>F357-$H$28</f>
        <v/>
      </c>
    </row>
    <row r="358" ht="15" customHeight="1">
      <c r="B358" s="26" t="n">
        <v>44694</v>
      </c>
      <c r="C358" s="27" t="n">
        <v>1160.22</v>
      </c>
      <c r="D358" s="27" t="n">
        <v>20892.99</v>
      </c>
      <c r="E358" s="28">
        <f>(C358-C357)/C357</f>
        <v/>
      </c>
      <c r="F358" s="28">
        <f>(D358-D357)/D357</f>
        <v/>
      </c>
      <c r="G358" s="29">
        <f>E358-$H$27</f>
        <v/>
      </c>
      <c r="H358" s="29">
        <f>F358-$H$28</f>
        <v/>
      </c>
    </row>
    <row r="359" ht="15" customHeight="1">
      <c r="B359" s="24" t="n">
        <v>44697</v>
      </c>
      <c r="C359" s="25" t="n">
        <v>1142.71</v>
      </c>
      <c r="D359" s="25" t="n">
        <v>20911.69</v>
      </c>
      <c r="E359" s="30">
        <f>(C359-C358)/C358</f>
        <v/>
      </c>
      <c r="F359" s="30">
        <f>(D359-D358)/D358</f>
        <v/>
      </c>
      <c r="G359" s="29">
        <f>E359-$H$27</f>
        <v/>
      </c>
      <c r="H359" s="29">
        <f>F359-$H$28</f>
        <v/>
      </c>
    </row>
    <row r="360" ht="15" customHeight="1">
      <c r="B360" s="26" t="n">
        <v>44698</v>
      </c>
      <c r="C360" s="27" t="n">
        <v>1118.92</v>
      </c>
      <c r="D360" s="27" t="n">
        <v>20622.43</v>
      </c>
      <c r="E360" s="28">
        <f>(C360-C359)/C359</f>
        <v/>
      </c>
      <c r="F360" s="28">
        <f>(D360-D359)/D359</f>
        <v/>
      </c>
      <c r="G360" s="29">
        <f>E360-$H$27</f>
        <v/>
      </c>
      <c r="H360" s="29">
        <f>F360-$H$28</f>
        <v/>
      </c>
    </row>
    <row r="361" ht="15" customHeight="1">
      <c r="B361" s="24" t="n">
        <v>44699</v>
      </c>
      <c r="C361" s="25" t="n">
        <v>1139.55</v>
      </c>
      <c r="D361" s="25" t="n">
        <v>20641.37</v>
      </c>
      <c r="E361" s="30">
        <f>(C361-C360)/C360</f>
        <v/>
      </c>
      <c r="F361" s="30">
        <f>(D361-D360)/D360</f>
        <v/>
      </c>
      <c r="G361" s="29">
        <f>E361-$H$27</f>
        <v/>
      </c>
      <c r="H361" s="29">
        <f>F361-$H$28</f>
        <v/>
      </c>
    </row>
    <row r="362" ht="15" customHeight="1">
      <c r="B362" s="26" t="n">
        <v>44700</v>
      </c>
      <c r="C362" s="27" t="n">
        <v>1111.74</v>
      </c>
      <c r="D362" s="27" t="n">
        <v>21044.44</v>
      </c>
      <c r="E362" s="28">
        <f>(C362-C361)/C361</f>
        <v/>
      </c>
      <c r="F362" s="28">
        <f>(D362-D361)/D361</f>
        <v/>
      </c>
      <c r="G362" s="29">
        <f>E362-$H$27</f>
        <v/>
      </c>
      <c r="H362" s="29">
        <f>F362-$H$28</f>
        <v/>
      </c>
    </row>
    <row r="363" ht="15" customHeight="1">
      <c r="B363" s="24" t="n">
        <v>44701</v>
      </c>
      <c r="C363" s="25" t="n">
        <v>1093.39</v>
      </c>
      <c r="D363" s="25" t="n">
        <v>21265.4</v>
      </c>
      <c r="E363" s="30">
        <f>(C363-C362)/C362</f>
        <v/>
      </c>
      <c r="F363" s="30">
        <f>(D363-D362)/D362</f>
        <v/>
      </c>
      <c r="G363" s="29">
        <f>E363-$H$27</f>
        <v/>
      </c>
      <c r="H363" s="29">
        <f>F363-$H$28</f>
        <v/>
      </c>
    </row>
    <row r="364" ht="15" customHeight="1">
      <c r="B364" s="26" t="n">
        <v>44704</v>
      </c>
      <c r="C364" s="27" t="n">
        <v>1071.06</v>
      </c>
      <c r="D364" s="27" t="n">
        <v>21132.13</v>
      </c>
      <c r="E364" s="28">
        <f>(C364-C363)/C363</f>
        <v/>
      </c>
      <c r="F364" s="28">
        <f>(D364-D363)/D363</f>
        <v/>
      </c>
      <c r="G364" s="29">
        <f>E364-$H$27</f>
        <v/>
      </c>
      <c r="H364" s="29">
        <f>F364-$H$28</f>
        <v/>
      </c>
    </row>
    <row r="365" ht="15" customHeight="1">
      <c r="B365" s="24" t="n">
        <v>44705</v>
      </c>
      <c r="C365" s="25" t="n">
        <v>1080.46</v>
      </c>
      <c r="D365" s="25" t="n">
        <v>21432.04</v>
      </c>
      <c r="E365" s="30">
        <f>(C365-C364)/C364</f>
        <v/>
      </c>
      <c r="F365" s="30">
        <f>(D365-D364)/D364</f>
        <v/>
      </c>
      <c r="G365" s="29">
        <f>E365-$H$27</f>
        <v/>
      </c>
      <c r="H365" s="29">
        <f>F365-$H$28</f>
        <v/>
      </c>
    </row>
    <row r="366" ht="15" customHeight="1">
      <c r="B366" s="26" t="n">
        <v>44706</v>
      </c>
      <c r="C366" s="27" t="n">
        <v>1068.46</v>
      </c>
      <c r="D366" s="27" t="n">
        <v>21571.88</v>
      </c>
      <c r="E366" s="28">
        <f>(C366-C365)/C365</f>
        <v/>
      </c>
      <c r="F366" s="28">
        <f>(D366-D365)/D365</f>
        <v/>
      </c>
      <c r="G366" s="29">
        <f>E366-$H$27</f>
        <v/>
      </c>
      <c r="H366" s="29">
        <f>F366-$H$28</f>
        <v/>
      </c>
    </row>
    <row r="367" ht="15" customHeight="1">
      <c r="B367" s="24" t="n">
        <v>44707</v>
      </c>
      <c r="C367" s="25" t="n">
        <v>1077.3</v>
      </c>
      <c r="D367" s="25" t="n">
        <v>21325.52</v>
      </c>
      <c r="E367" s="30">
        <f>(C367-C366)/C366</f>
        <v/>
      </c>
      <c r="F367" s="30">
        <f>(D367-D366)/D366</f>
        <v/>
      </c>
      <c r="G367" s="29">
        <f>E367-$H$27</f>
        <v/>
      </c>
      <c r="H367" s="29">
        <f>F367-$H$28</f>
        <v/>
      </c>
    </row>
    <row r="368" ht="15" customHeight="1">
      <c r="B368" s="26" t="n">
        <v>44708</v>
      </c>
      <c r="C368" s="27" t="n">
        <v>1081.9</v>
      </c>
      <c r="D368" s="27" t="n">
        <v>21087.33</v>
      </c>
      <c r="E368" s="28">
        <f>(C368-C367)/C367</f>
        <v/>
      </c>
      <c r="F368" s="28">
        <f>(D368-D367)/D367</f>
        <v/>
      </c>
      <c r="G368" s="29">
        <f>E368-$H$27</f>
        <v/>
      </c>
      <c r="H368" s="29">
        <f>F368-$H$28</f>
        <v/>
      </c>
    </row>
    <row r="369" ht="15" customHeight="1">
      <c r="B369" s="24" t="n">
        <v>44711</v>
      </c>
      <c r="C369" s="25" t="n">
        <v>1095.71</v>
      </c>
      <c r="D369" s="25" t="n">
        <v>21163.28</v>
      </c>
      <c r="E369" s="30">
        <f>(C369-C368)/C368</f>
        <v/>
      </c>
      <c r="F369" s="30">
        <f>(D369-D368)/D368</f>
        <v/>
      </c>
      <c r="G369" s="29">
        <f>E369-$H$27</f>
        <v/>
      </c>
      <c r="H369" s="29">
        <f>F369-$H$28</f>
        <v/>
      </c>
    </row>
    <row r="370" ht="15" customHeight="1">
      <c r="B370" s="26" t="n">
        <v>44712</v>
      </c>
      <c r="C370" s="27" t="n">
        <v>1083.74</v>
      </c>
      <c r="D370" s="27" t="n">
        <v>21265.95</v>
      </c>
      <c r="E370" s="28">
        <f>(C370-C369)/C369</f>
        <v/>
      </c>
      <c r="F370" s="28">
        <f>(D370-D369)/D369</f>
        <v/>
      </c>
      <c r="G370" s="29">
        <f>E370-$H$27</f>
        <v/>
      </c>
      <c r="H370" s="29">
        <f>F370-$H$28</f>
        <v/>
      </c>
    </row>
    <row r="371" ht="15" customHeight="1">
      <c r="B371" s="24" t="n">
        <v>44713</v>
      </c>
      <c r="C371" s="25" t="n">
        <v>1102.65</v>
      </c>
      <c r="D371" s="25" t="n">
        <v>21396.81</v>
      </c>
      <c r="E371" s="30">
        <f>(C371-C370)/C370</f>
        <v/>
      </c>
      <c r="F371" s="30">
        <f>(D371-D370)/D370</f>
        <v/>
      </c>
      <c r="G371" s="29">
        <f>E371-$H$27</f>
        <v/>
      </c>
      <c r="H371" s="29">
        <f>F371-$H$28</f>
        <v/>
      </c>
    </row>
    <row r="372" ht="15" customHeight="1">
      <c r="B372" s="26" t="n">
        <v>44714</v>
      </c>
      <c r="C372" s="27" t="n">
        <v>1099.41</v>
      </c>
      <c r="D372" s="27" t="n">
        <v>21079.32</v>
      </c>
      <c r="E372" s="28">
        <f>(C372-C371)/C371</f>
        <v/>
      </c>
      <c r="F372" s="28">
        <f>(D372-D371)/D371</f>
        <v/>
      </c>
      <c r="G372" s="29">
        <f>E372-$H$27</f>
        <v/>
      </c>
      <c r="H372" s="29">
        <f>F372-$H$28</f>
        <v/>
      </c>
    </row>
    <row r="373" ht="15" customHeight="1">
      <c r="B373" s="24" t="n">
        <v>44715</v>
      </c>
      <c r="C373" s="25" t="n">
        <v>1061.67</v>
      </c>
      <c r="D373" s="25" t="n">
        <v>21212.79</v>
      </c>
      <c r="E373" s="30">
        <f>(C373-C372)/C372</f>
        <v/>
      </c>
      <c r="F373" s="30">
        <f>(D373-D372)/D372</f>
        <v/>
      </c>
      <c r="G373" s="29">
        <f>E373-$H$27</f>
        <v/>
      </c>
      <c r="H373" s="29">
        <f>F373-$H$28</f>
        <v/>
      </c>
    </row>
    <row r="374" ht="15" customHeight="1">
      <c r="B374" s="26" t="n">
        <v>44718</v>
      </c>
      <c r="C374" s="27" t="n">
        <v>1072.54</v>
      </c>
      <c r="D374" s="27" t="n">
        <v>21129.92</v>
      </c>
      <c r="E374" s="28">
        <f>(C374-C373)/C373</f>
        <v/>
      </c>
      <c r="F374" s="28">
        <f>(D374-D373)/D373</f>
        <v/>
      </c>
      <c r="G374" s="29">
        <f>E374-$H$27</f>
        <v/>
      </c>
      <c r="H374" s="29">
        <f>F374-$H$28</f>
        <v/>
      </c>
    </row>
    <row r="375" ht="15" customHeight="1">
      <c r="B375" s="24" t="n">
        <v>44719</v>
      </c>
      <c r="C375" s="25" t="n">
        <v>1038.84</v>
      </c>
      <c r="D375" s="25" t="n">
        <v>20995.93</v>
      </c>
      <c r="E375" s="30">
        <f>(C375-C374)/C374</f>
        <v/>
      </c>
      <c r="F375" s="30">
        <f>(D375-D374)/D374</f>
        <v/>
      </c>
      <c r="G375" s="29">
        <f>E375-$H$27</f>
        <v/>
      </c>
      <c r="H375" s="29">
        <f>F375-$H$28</f>
        <v/>
      </c>
    </row>
    <row r="376" ht="15" customHeight="1">
      <c r="B376" s="26" t="n">
        <v>44720</v>
      </c>
      <c r="C376" s="27" t="n">
        <v>1046.93</v>
      </c>
      <c r="D376" s="27" t="n">
        <v>20949.5</v>
      </c>
      <c r="E376" s="28">
        <f>(C376-C375)/C375</f>
        <v/>
      </c>
      <c r="F376" s="28">
        <f>(D376-D375)/D375</f>
        <v/>
      </c>
      <c r="G376" s="29">
        <f>E376-$H$27</f>
        <v/>
      </c>
      <c r="H376" s="29">
        <f>F376-$H$28</f>
        <v/>
      </c>
    </row>
    <row r="377" ht="15" customHeight="1">
      <c r="B377" s="24" t="n">
        <v>44721</v>
      </c>
      <c r="C377" s="25" t="n">
        <v>1061.54</v>
      </c>
      <c r="D377" s="25" t="n">
        <v>20924.63</v>
      </c>
      <c r="E377" s="30">
        <f>(C377-C376)/C376</f>
        <v/>
      </c>
      <c r="F377" s="30">
        <f>(D377-D376)/D376</f>
        <v/>
      </c>
      <c r="G377" s="29">
        <f>E377-$H$27</f>
        <v/>
      </c>
      <c r="H377" s="29">
        <f>F377-$H$28</f>
        <v/>
      </c>
    </row>
    <row r="378" ht="15" customHeight="1">
      <c r="B378" s="26" t="n">
        <v>44722</v>
      </c>
      <c r="C378" s="27" t="n">
        <v>1046.11</v>
      </c>
      <c r="D378" s="27" t="n">
        <v>20872</v>
      </c>
      <c r="E378" s="28">
        <f>(C378-C377)/C377</f>
        <v/>
      </c>
      <c r="F378" s="28">
        <f>(D378-D377)/D377</f>
        <v/>
      </c>
      <c r="G378" s="29">
        <f>E378-$H$27</f>
        <v/>
      </c>
      <c r="H378" s="29">
        <f>F378-$H$28</f>
        <v/>
      </c>
    </row>
    <row r="379" ht="15" customHeight="1">
      <c r="B379" s="24" t="n">
        <v>44725</v>
      </c>
      <c r="C379" s="25" t="n">
        <v>1025.15</v>
      </c>
      <c r="D379" s="25" t="n">
        <v>21575.87</v>
      </c>
      <c r="E379" s="30">
        <f>(C379-C378)/C378</f>
        <v/>
      </c>
      <c r="F379" s="30">
        <f>(D379-D378)/D378</f>
        <v/>
      </c>
      <c r="G379" s="29">
        <f>E379-$H$27</f>
        <v/>
      </c>
      <c r="H379" s="29">
        <f>F379-$H$28</f>
        <v/>
      </c>
    </row>
    <row r="380" ht="15" customHeight="1">
      <c r="B380" s="26" t="n">
        <v>44726</v>
      </c>
      <c r="C380" s="27" t="n">
        <v>1028.27</v>
      </c>
      <c r="D380" s="27" t="n">
        <v>21467.19</v>
      </c>
      <c r="E380" s="28">
        <f>(C380-C379)/C379</f>
        <v/>
      </c>
      <c r="F380" s="28">
        <f>(D380-D379)/D379</f>
        <v/>
      </c>
      <c r="G380" s="29">
        <f>E380-$H$27</f>
        <v/>
      </c>
      <c r="H380" s="29">
        <f>F380-$H$28</f>
        <v/>
      </c>
    </row>
    <row r="381" ht="15" customHeight="1">
      <c r="B381" s="24" t="n">
        <v>44727</v>
      </c>
      <c r="C381" s="25" t="n">
        <v>1038.1</v>
      </c>
      <c r="D381" s="25" t="n">
        <v>21216.62</v>
      </c>
      <c r="E381" s="30">
        <f>(C381-C380)/C380</f>
        <v/>
      </c>
      <c r="F381" s="30">
        <f>(D381-D380)/D380</f>
        <v/>
      </c>
      <c r="G381" s="29">
        <f>E381-$H$27</f>
        <v/>
      </c>
      <c r="H381" s="29">
        <f>F381-$H$28</f>
        <v/>
      </c>
    </row>
    <row r="382" ht="15" customHeight="1">
      <c r="B382" s="26" t="n">
        <v>44728</v>
      </c>
      <c r="C382" s="27" t="n">
        <v>1065.25</v>
      </c>
      <c r="D382" s="27" t="n">
        <v>20750.94</v>
      </c>
      <c r="E382" s="28">
        <f>(C382-C381)/C381</f>
        <v/>
      </c>
      <c r="F382" s="28">
        <f>(D382-D381)/D381</f>
        <v/>
      </c>
      <c r="G382" s="29">
        <f>E382-$H$27</f>
        <v/>
      </c>
      <c r="H382" s="29">
        <f>F382-$H$28</f>
        <v/>
      </c>
    </row>
    <row r="383" ht="15" customHeight="1">
      <c r="B383" s="24" t="n">
        <v>44729</v>
      </c>
      <c r="C383" s="25" t="n">
        <v>1083.04</v>
      </c>
      <c r="D383" s="25" t="n">
        <v>20705.12</v>
      </c>
      <c r="E383" s="30">
        <f>(C383-C382)/C382</f>
        <v/>
      </c>
      <c r="F383" s="30">
        <f>(D383-D382)/D382</f>
        <v/>
      </c>
      <c r="G383" s="29">
        <f>E383-$H$27</f>
        <v/>
      </c>
      <c r="H383" s="29">
        <f>F383-$H$28</f>
        <v/>
      </c>
    </row>
    <row r="384" ht="15" customHeight="1">
      <c r="B384" s="26" t="n">
        <v>44732</v>
      </c>
      <c r="C384" s="27" t="n">
        <v>1062.36</v>
      </c>
      <c r="D384" s="27" t="n">
        <v>20797.87</v>
      </c>
      <c r="E384" s="28">
        <f>(C384-C383)/C383</f>
        <v/>
      </c>
      <c r="F384" s="28">
        <f>(D384-D383)/D383</f>
        <v/>
      </c>
      <c r="G384" s="29">
        <f>E384-$H$27</f>
        <v/>
      </c>
      <c r="H384" s="29">
        <f>F384-$H$28</f>
        <v/>
      </c>
    </row>
    <row r="385" ht="15" customHeight="1">
      <c r="B385" s="24" t="n">
        <v>44733</v>
      </c>
      <c r="C385" s="25" t="n">
        <v>1055.03</v>
      </c>
      <c r="D385" s="25" t="n">
        <v>20740.27</v>
      </c>
      <c r="E385" s="30">
        <f>(C385-C384)/C384</f>
        <v/>
      </c>
      <c r="F385" s="30">
        <f>(D385-D384)/D384</f>
        <v/>
      </c>
      <c r="G385" s="29">
        <f>E385-$H$27</f>
        <v/>
      </c>
      <c r="H385" s="29">
        <f>F385-$H$28</f>
        <v/>
      </c>
    </row>
    <row r="386" ht="15" customHeight="1">
      <c r="B386" s="26" t="n">
        <v>44734</v>
      </c>
      <c r="C386" s="27" t="n">
        <v>1056.91</v>
      </c>
      <c r="D386" s="27" t="n">
        <v>20682.91</v>
      </c>
      <c r="E386" s="28">
        <f>(C386-C385)/C385</f>
        <v/>
      </c>
      <c r="F386" s="28">
        <f>(D386-D385)/D385</f>
        <v/>
      </c>
      <c r="G386" s="29">
        <f>E386-$H$27</f>
        <v/>
      </c>
      <c r="H386" s="29">
        <f>F386-$H$28</f>
        <v/>
      </c>
    </row>
    <row r="387" ht="15" customHeight="1">
      <c r="B387" s="24" t="n">
        <v>44735</v>
      </c>
      <c r="C387" s="25" t="n">
        <v>1079.46</v>
      </c>
      <c r="D387" s="25" t="n">
        <v>20623.44</v>
      </c>
      <c r="E387" s="30">
        <f>(C387-C386)/C386</f>
        <v/>
      </c>
      <c r="F387" s="30">
        <f>(D387-D386)/D386</f>
        <v/>
      </c>
      <c r="G387" s="29">
        <f>E387-$H$27</f>
        <v/>
      </c>
      <c r="H387" s="29">
        <f>F387-$H$28</f>
        <v/>
      </c>
    </row>
    <row r="388" ht="15" customHeight="1">
      <c r="B388" s="26" t="n">
        <v>44736</v>
      </c>
      <c r="C388" s="27" t="n">
        <v>1069.66</v>
      </c>
      <c r="D388" s="27" t="n">
        <v>20681.83</v>
      </c>
      <c r="E388" s="28">
        <f>(C388-C387)/C387</f>
        <v/>
      </c>
      <c r="F388" s="28">
        <f>(D388-D387)/D387</f>
        <v/>
      </c>
      <c r="G388" s="29">
        <f>E388-$H$27</f>
        <v/>
      </c>
      <c r="H388" s="29">
        <f>F388-$H$28</f>
        <v/>
      </c>
    </row>
    <row r="389" ht="15" customHeight="1">
      <c r="B389" s="24" t="n">
        <v>44739</v>
      </c>
      <c r="C389" s="25" t="n">
        <v>1053.6</v>
      </c>
      <c r="D389" s="25" t="n">
        <v>20436.33</v>
      </c>
      <c r="E389" s="30">
        <f>(C389-C388)/C388</f>
        <v/>
      </c>
      <c r="F389" s="30">
        <f>(D389-D388)/D388</f>
        <v/>
      </c>
      <c r="G389" s="29">
        <f>E389-$H$27</f>
        <v/>
      </c>
      <c r="H389" s="29">
        <f>F389-$H$28</f>
        <v/>
      </c>
    </row>
    <row r="390" ht="15" customHeight="1">
      <c r="B390" s="26" t="n">
        <v>44740</v>
      </c>
      <c r="C390" s="27" t="n">
        <v>1054.59</v>
      </c>
      <c r="D390" s="27" t="n">
        <v>20533.8</v>
      </c>
      <c r="E390" s="28">
        <f>(C390-C389)/C389</f>
        <v/>
      </c>
      <c r="F390" s="28">
        <f>(D390-D389)/D389</f>
        <v/>
      </c>
      <c r="G390" s="29">
        <f>E390-$H$27</f>
        <v/>
      </c>
      <c r="H390" s="29">
        <f>F390-$H$28</f>
        <v/>
      </c>
    </row>
    <row r="391" ht="15" customHeight="1">
      <c r="B391" s="24" t="n">
        <v>44741</v>
      </c>
      <c r="C391" s="25" t="n">
        <v>1064.7</v>
      </c>
      <c r="D391" s="25" t="n">
        <v>20127.51</v>
      </c>
      <c r="E391" s="30">
        <f>(C391-C390)/C390</f>
        <v/>
      </c>
      <c r="F391" s="30">
        <f>(D391-D390)/D390</f>
        <v/>
      </c>
      <c r="G391" s="29">
        <f>E391-$H$27</f>
        <v/>
      </c>
      <c r="H391" s="29">
        <f>F391-$H$28</f>
        <v/>
      </c>
    </row>
    <row r="392" ht="15" customHeight="1">
      <c r="B392" s="26" t="n">
        <v>44742</v>
      </c>
      <c r="C392" s="27" t="n">
        <v>1061.14</v>
      </c>
      <c r="D392" s="27" t="n">
        <v>20178.2</v>
      </c>
      <c r="E392" s="28">
        <f>(C392-C391)/C391</f>
        <v/>
      </c>
      <c r="F392" s="28">
        <f>(D392-D391)/D391</f>
        <v/>
      </c>
      <c r="G392" s="29">
        <f>E392-$H$27</f>
        <v/>
      </c>
      <c r="H392" s="29">
        <f>F392-$H$28</f>
        <v/>
      </c>
    </row>
    <row r="393" ht="15" customHeight="1">
      <c r="B393" s="24" t="n">
        <v>44743</v>
      </c>
      <c r="C393" s="25" t="n">
        <v>1085.59</v>
      </c>
      <c r="D393" s="25" t="n">
        <v>19995.68</v>
      </c>
      <c r="E393" s="30">
        <f>(C393-C392)/C392</f>
        <v/>
      </c>
      <c r="F393" s="30">
        <f>(D393-D392)/D392</f>
        <v/>
      </c>
      <c r="G393" s="29">
        <f>E393-$H$27</f>
        <v/>
      </c>
      <c r="H393" s="29">
        <f>F393-$H$28</f>
        <v/>
      </c>
    </row>
    <row r="394" ht="15" customHeight="1">
      <c r="B394" s="26" t="n">
        <v>44746</v>
      </c>
      <c r="C394" s="27" t="n">
        <v>1055.93</v>
      </c>
      <c r="D394" s="27" t="n">
        <v>19891.86</v>
      </c>
      <c r="E394" s="28">
        <f>(C394-C393)/C393</f>
        <v/>
      </c>
      <c r="F394" s="28">
        <f>(D394-D393)/D393</f>
        <v/>
      </c>
      <c r="G394" s="29">
        <f>E394-$H$27</f>
        <v/>
      </c>
      <c r="H394" s="29">
        <f>F394-$H$28</f>
        <v/>
      </c>
    </row>
    <row r="395" ht="15" customHeight="1">
      <c r="B395" s="24" t="n">
        <v>44747</v>
      </c>
      <c r="C395" s="25" t="n">
        <v>1071.17</v>
      </c>
      <c r="D395" s="25" t="n">
        <v>19890.62</v>
      </c>
      <c r="E395" s="30">
        <f>(C395-C394)/C394</f>
        <v/>
      </c>
      <c r="F395" s="30">
        <f>(D395-D394)/D394</f>
        <v/>
      </c>
      <c r="G395" s="29">
        <f>E395-$H$27</f>
        <v/>
      </c>
      <c r="H395" s="29">
        <f>F395-$H$28</f>
        <v/>
      </c>
    </row>
    <row r="396" ht="15" customHeight="1">
      <c r="B396" s="26" t="n">
        <v>44748</v>
      </c>
      <c r="C396" s="27" t="n">
        <v>1101.94</v>
      </c>
      <c r="D396" s="27" t="n">
        <v>19678.57</v>
      </c>
      <c r="E396" s="28">
        <f>(C396-C395)/C395</f>
        <v/>
      </c>
      <c r="F396" s="28">
        <f>(D396-D395)/D395</f>
        <v/>
      </c>
      <c r="G396" s="29">
        <f>E396-$H$27</f>
        <v/>
      </c>
      <c r="H396" s="29">
        <f>F396-$H$28</f>
        <v/>
      </c>
    </row>
    <row r="397" ht="15" customHeight="1">
      <c r="B397" s="24" t="n">
        <v>44749</v>
      </c>
      <c r="C397" s="25" t="n">
        <v>1117.68</v>
      </c>
      <c r="D397" s="25" t="n">
        <v>19632.9</v>
      </c>
      <c r="E397" s="30">
        <f>(C397-C396)/C396</f>
        <v/>
      </c>
      <c r="F397" s="30">
        <f>(D397-D396)/D396</f>
        <v/>
      </c>
      <c r="G397" s="29">
        <f>E397-$H$27</f>
        <v/>
      </c>
      <c r="H397" s="29">
        <f>F397-$H$28</f>
        <v/>
      </c>
    </row>
    <row r="398" ht="15" customHeight="1">
      <c r="B398" s="26" t="n">
        <v>44750</v>
      </c>
      <c r="C398" s="27" t="n">
        <v>1111.34</v>
      </c>
      <c r="D398" s="27" t="n">
        <v>20050.16</v>
      </c>
      <c r="E398" s="28">
        <f>(C398-C397)/C397</f>
        <v/>
      </c>
      <c r="F398" s="28">
        <f>(D398-D397)/D397</f>
        <v/>
      </c>
      <c r="G398" s="29">
        <f>E398-$H$27</f>
        <v/>
      </c>
      <c r="H398" s="29">
        <f>F398-$H$28</f>
        <v/>
      </c>
    </row>
    <row r="399" ht="15" customHeight="1">
      <c r="B399" s="24" t="n">
        <v>44753</v>
      </c>
      <c r="C399" s="25" t="n">
        <v>1149.66</v>
      </c>
      <c r="D399" s="25" t="n">
        <v>20158.69</v>
      </c>
      <c r="E399" s="30">
        <f>(C399-C398)/C398</f>
        <v/>
      </c>
      <c r="F399" s="30">
        <f>(D399-D398)/D398</f>
        <v/>
      </c>
      <c r="G399" s="29">
        <f>E399-$H$27</f>
        <v/>
      </c>
      <c r="H399" s="29">
        <f>F399-$H$28</f>
        <v/>
      </c>
    </row>
    <row r="400" ht="15" customHeight="1">
      <c r="B400" s="26" t="n">
        <v>44754</v>
      </c>
      <c r="C400" s="27" t="n">
        <v>1141.23</v>
      </c>
      <c r="D400" s="27" t="n">
        <v>19941.54</v>
      </c>
      <c r="E400" s="28">
        <f>(C400-C399)/C399</f>
        <v/>
      </c>
      <c r="F400" s="28">
        <f>(D400-D399)/D399</f>
        <v/>
      </c>
      <c r="G400" s="29">
        <f>E400-$H$27</f>
        <v/>
      </c>
      <c r="H400" s="29">
        <f>F400-$H$28</f>
        <v/>
      </c>
    </row>
    <row r="401" ht="15" customHeight="1">
      <c r="B401" s="24" t="n">
        <v>44755</v>
      </c>
      <c r="C401" s="25" t="n">
        <v>1131.57</v>
      </c>
      <c r="D401" s="25" t="n">
        <v>20110.13</v>
      </c>
      <c r="E401" s="30">
        <f>(C401-C400)/C400</f>
        <v/>
      </c>
      <c r="F401" s="30">
        <f>(D401-D400)/D400</f>
        <v/>
      </c>
      <c r="G401" s="29">
        <f>E401-$H$27</f>
        <v/>
      </c>
      <c r="H401" s="29">
        <f>F401-$H$28</f>
        <v/>
      </c>
    </row>
    <row r="402" ht="15" customHeight="1">
      <c r="B402" s="26" t="n">
        <v>44756</v>
      </c>
      <c r="C402" s="27" t="n">
        <v>1102.73</v>
      </c>
      <c r="D402" s="27" t="n">
        <v>20111.32</v>
      </c>
      <c r="E402" s="28">
        <f>(C402-C401)/C401</f>
        <v/>
      </c>
      <c r="F402" s="28">
        <f>(D402-D401)/D401</f>
        <v/>
      </c>
      <c r="G402" s="29">
        <f>E402-$H$27</f>
        <v/>
      </c>
      <c r="H402" s="29">
        <f>F402-$H$28</f>
        <v/>
      </c>
    </row>
    <row r="403" ht="15" customHeight="1">
      <c r="B403" s="24" t="n">
        <v>44757</v>
      </c>
      <c r="C403" s="25" t="n">
        <v>1134.99</v>
      </c>
      <c r="D403" s="25" t="n">
        <v>20242.58</v>
      </c>
      <c r="E403" s="30">
        <f>(C403-C402)/C402</f>
        <v/>
      </c>
      <c r="F403" s="30">
        <f>(D403-D402)/D402</f>
        <v/>
      </c>
      <c r="G403" s="29">
        <f>E403-$H$27</f>
        <v/>
      </c>
      <c r="H403" s="29">
        <f>F403-$H$28</f>
        <v/>
      </c>
    </row>
    <row r="404" ht="15" customHeight="1">
      <c r="B404" s="26" t="n">
        <v>44760</v>
      </c>
      <c r="C404" s="27" t="n">
        <v>1148.51</v>
      </c>
      <c r="D404" s="27" t="n">
        <v>19880.7</v>
      </c>
      <c r="E404" s="28">
        <f>(C404-C403)/C403</f>
        <v/>
      </c>
      <c r="F404" s="28">
        <f>(D404-D403)/D403</f>
        <v/>
      </c>
      <c r="G404" s="29">
        <f>E404-$H$27</f>
        <v/>
      </c>
      <c r="H404" s="29">
        <f>F404-$H$28</f>
        <v/>
      </c>
    </row>
    <row r="405" ht="15" customHeight="1">
      <c r="B405" s="24" t="n">
        <v>44761</v>
      </c>
      <c r="C405" s="25" t="n">
        <v>1125.24</v>
      </c>
      <c r="D405" s="25" t="n">
        <v>20043.79</v>
      </c>
      <c r="E405" s="30">
        <f>(C405-C404)/C404</f>
        <v/>
      </c>
      <c r="F405" s="30">
        <f>(D405-D404)/D404</f>
        <v/>
      </c>
      <c r="G405" s="29">
        <f>E405-$H$27</f>
        <v/>
      </c>
      <c r="H405" s="29">
        <f>F405-$H$28</f>
        <v/>
      </c>
    </row>
    <row r="406" ht="15" customHeight="1">
      <c r="B406" s="26" t="n">
        <v>44762</v>
      </c>
      <c r="C406" s="27" t="n">
        <v>1112.82</v>
      </c>
      <c r="D406" s="27" t="n">
        <v>19816.52</v>
      </c>
      <c r="E406" s="28">
        <f>(C406-C405)/C405</f>
        <v/>
      </c>
      <c r="F406" s="28">
        <f>(D406-D405)/D405</f>
        <v/>
      </c>
      <c r="G406" s="29">
        <f>E406-$H$27</f>
        <v/>
      </c>
      <c r="H406" s="29">
        <f>F406-$H$28</f>
        <v/>
      </c>
    </row>
    <row r="407" ht="15" customHeight="1">
      <c r="B407" s="24" t="n">
        <v>44763</v>
      </c>
      <c r="C407" s="25" t="n">
        <v>1139.84</v>
      </c>
      <c r="D407" s="25" t="n">
        <v>19821.47</v>
      </c>
      <c r="E407" s="30">
        <f>(C407-C406)/C406</f>
        <v/>
      </c>
      <c r="F407" s="30">
        <f>(D407-D406)/D406</f>
        <v/>
      </c>
      <c r="G407" s="29">
        <f>E407-$H$27</f>
        <v/>
      </c>
      <c r="H407" s="29">
        <f>F407-$H$28</f>
        <v/>
      </c>
    </row>
    <row r="408" ht="15" customHeight="1">
      <c r="B408" s="26" t="n">
        <v>44764</v>
      </c>
      <c r="C408" s="27" t="n">
        <v>1168.31</v>
      </c>
      <c r="D408" s="27" t="n">
        <v>20011.46</v>
      </c>
      <c r="E408" s="28">
        <f>(C408-C407)/C407</f>
        <v/>
      </c>
      <c r="F408" s="28">
        <f>(D408-D407)/D407</f>
        <v/>
      </c>
      <c r="G408" s="29">
        <f>E408-$H$27</f>
        <v/>
      </c>
      <c r="H408" s="29">
        <f>F408-$H$28</f>
        <v/>
      </c>
    </row>
    <row r="409" ht="15" customHeight="1">
      <c r="B409" s="24" t="n">
        <v>44767</v>
      </c>
      <c r="C409" s="25" t="n">
        <v>1130.29</v>
      </c>
      <c r="D409" s="25" t="n">
        <v>20378.12</v>
      </c>
      <c r="E409" s="30">
        <f>(C409-C408)/C408</f>
        <v/>
      </c>
      <c r="F409" s="30">
        <f>(D409-D408)/D408</f>
        <v/>
      </c>
      <c r="G409" s="29">
        <f>E409-$H$27</f>
        <v/>
      </c>
      <c r="H409" s="29">
        <f>F409-$H$28</f>
        <v/>
      </c>
    </row>
    <row r="410" ht="15" customHeight="1">
      <c r="B410" s="26" t="n">
        <v>44768</v>
      </c>
      <c r="C410" s="27" t="n">
        <v>1151.6</v>
      </c>
      <c r="D410" s="27" t="n">
        <v>20510.92</v>
      </c>
      <c r="E410" s="28">
        <f>(C410-C409)/C409</f>
        <v/>
      </c>
      <c r="F410" s="28">
        <f>(D410-D409)/D409</f>
        <v/>
      </c>
      <c r="G410" s="29">
        <f>E410-$H$27</f>
        <v/>
      </c>
      <c r="H410" s="29">
        <f>F410-$H$28</f>
        <v/>
      </c>
    </row>
    <row r="411" ht="15" customHeight="1">
      <c r="B411" s="24" t="n">
        <v>44769</v>
      </c>
      <c r="C411" s="25" t="n">
        <v>1142.1</v>
      </c>
      <c r="D411" s="25" t="n">
        <v>20427.79</v>
      </c>
      <c r="E411" s="30">
        <f>(C411-C410)/C410</f>
        <v/>
      </c>
      <c r="F411" s="30">
        <f>(D411-D410)/D410</f>
        <v/>
      </c>
      <c r="G411" s="29">
        <f>E411-$H$27</f>
        <v/>
      </c>
      <c r="H411" s="29">
        <f>F411-$H$28</f>
        <v/>
      </c>
    </row>
    <row r="412" ht="15" customHeight="1">
      <c r="B412" s="26" t="n">
        <v>44770</v>
      </c>
      <c r="C412" s="27" t="n">
        <v>1123.24</v>
      </c>
      <c r="D412" s="27" t="n">
        <v>20470.41</v>
      </c>
      <c r="E412" s="28">
        <f>(C412-C411)/C411</f>
        <v/>
      </c>
      <c r="F412" s="28">
        <f>(D412-D411)/D411</f>
        <v/>
      </c>
      <c r="G412" s="29">
        <f>E412-$H$27</f>
        <v/>
      </c>
      <c r="H412" s="29">
        <f>F412-$H$28</f>
        <v/>
      </c>
    </row>
    <row r="413" ht="15" customHeight="1">
      <c r="B413" s="24" t="n">
        <v>44771</v>
      </c>
      <c r="C413" s="25" t="n">
        <v>1098.93</v>
      </c>
      <c r="D413" s="25" t="n">
        <v>20125.12</v>
      </c>
      <c r="E413" s="30">
        <f>(C413-C412)/C412</f>
        <v/>
      </c>
      <c r="F413" s="30">
        <f>(D413-D412)/D412</f>
        <v/>
      </c>
      <c r="G413" s="29">
        <f>E413-$H$27</f>
        <v/>
      </c>
      <c r="H413" s="29">
        <f>F413-$H$28</f>
        <v/>
      </c>
    </row>
    <row r="414" ht="15" customHeight="1">
      <c r="B414" s="26" t="n">
        <v>44774</v>
      </c>
      <c r="C414" s="27" t="n">
        <v>1090.33</v>
      </c>
      <c r="D414" s="27" t="n">
        <v>20017.79</v>
      </c>
      <c r="E414" s="28">
        <f>(C414-C413)/C413</f>
        <v/>
      </c>
      <c r="F414" s="28">
        <f>(D414-D413)/D413</f>
        <v/>
      </c>
      <c r="G414" s="29">
        <f>E414-$H$27</f>
        <v/>
      </c>
      <c r="H414" s="29">
        <f>F414-$H$28</f>
        <v/>
      </c>
    </row>
    <row r="415" ht="15" customHeight="1">
      <c r="B415" s="24" t="n">
        <v>44775</v>
      </c>
      <c r="C415" s="25" t="n">
        <v>1094.34</v>
      </c>
      <c r="D415" s="25" t="n">
        <v>19980.24</v>
      </c>
      <c r="E415" s="30">
        <f>(C415-C414)/C414</f>
        <v/>
      </c>
      <c r="F415" s="30">
        <f>(D415-D414)/D414</f>
        <v/>
      </c>
      <c r="G415" s="29">
        <f>E415-$H$27</f>
        <v/>
      </c>
      <c r="H415" s="29">
        <f>F415-$H$28</f>
        <v/>
      </c>
    </row>
    <row r="416" ht="15" customHeight="1">
      <c r="B416" s="26" t="n">
        <v>44776</v>
      </c>
      <c r="C416" s="27" t="n">
        <v>1082.18</v>
      </c>
      <c r="D416" s="27" t="n">
        <v>19725.43</v>
      </c>
      <c r="E416" s="28">
        <f>(C416-C415)/C415</f>
        <v/>
      </c>
      <c r="F416" s="28">
        <f>(D416-D415)/D415</f>
        <v/>
      </c>
      <c r="G416" s="29">
        <f>E416-$H$27</f>
        <v/>
      </c>
      <c r="H416" s="29">
        <f>F416-$H$28</f>
        <v/>
      </c>
    </row>
    <row r="417" ht="15" customHeight="1">
      <c r="B417" s="24" t="n">
        <v>44777</v>
      </c>
      <c r="C417" s="25" t="n">
        <v>1078.15</v>
      </c>
      <c r="D417" s="25" t="n">
        <v>19543.97</v>
      </c>
      <c r="E417" s="30">
        <f>(C417-C416)/C416</f>
        <v/>
      </c>
      <c r="F417" s="30">
        <f>(D417-D416)/D416</f>
        <v/>
      </c>
      <c r="G417" s="29">
        <f>E417-$H$27</f>
        <v/>
      </c>
      <c r="H417" s="29">
        <f>F417-$H$28</f>
        <v/>
      </c>
    </row>
    <row r="418" ht="15" customHeight="1">
      <c r="B418" s="26" t="n">
        <v>44778</v>
      </c>
      <c r="C418" s="27" t="n">
        <v>1056.73</v>
      </c>
      <c r="D418" s="27" t="n">
        <v>19592.84</v>
      </c>
      <c r="E418" s="28">
        <f>(C418-C417)/C417</f>
        <v/>
      </c>
      <c r="F418" s="28">
        <f>(D418-D417)/D417</f>
        <v/>
      </c>
      <c r="G418" s="29">
        <f>E418-$H$27</f>
        <v/>
      </c>
      <c r="H418" s="29">
        <f>F418-$H$28</f>
        <v/>
      </c>
    </row>
    <row r="419" ht="15" customHeight="1">
      <c r="B419" s="24" t="n">
        <v>44781</v>
      </c>
      <c r="C419" s="25" t="n">
        <v>1039.34</v>
      </c>
      <c r="D419" s="25" t="n">
        <v>19828.55</v>
      </c>
      <c r="E419" s="30">
        <f>(C419-C418)/C418</f>
        <v/>
      </c>
      <c r="F419" s="30">
        <f>(D419-D418)/D418</f>
        <v/>
      </c>
      <c r="G419" s="29">
        <f>E419-$H$27</f>
        <v/>
      </c>
      <c r="H419" s="29">
        <f>F419-$H$28</f>
        <v/>
      </c>
    </row>
    <row r="420" ht="15" customHeight="1">
      <c r="B420" s="26" t="n">
        <v>44782</v>
      </c>
      <c r="C420" s="27" t="n">
        <v>1060.07</v>
      </c>
      <c r="D420" s="27" t="n">
        <v>19751.3</v>
      </c>
      <c r="E420" s="28">
        <f>(C420-C419)/C419</f>
        <v/>
      </c>
      <c r="F420" s="28">
        <f>(D420-D419)/D419</f>
        <v/>
      </c>
      <c r="G420" s="29">
        <f>E420-$H$27</f>
        <v/>
      </c>
      <c r="H420" s="29">
        <f>F420-$H$28</f>
        <v/>
      </c>
    </row>
    <row r="421" ht="15" customHeight="1">
      <c r="B421" s="24" t="n">
        <v>44783</v>
      </c>
      <c r="C421" s="25" t="n">
        <v>1046.85</v>
      </c>
      <c r="D421" s="25" t="n">
        <v>19529.52</v>
      </c>
      <c r="E421" s="30">
        <f>(C421-C420)/C420</f>
        <v/>
      </c>
      <c r="F421" s="30">
        <f>(D421-D420)/D420</f>
        <v/>
      </c>
      <c r="G421" s="29">
        <f>E421-$H$27</f>
        <v/>
      </c>
      <c r="H421" s="29">
        <f>F421-$H$28</f>
        <v/>
      </c>
    </row>
    <row r="422" ht="15" customHeight="1">
      <c r="B422" s="26" t="n">
        <v>44784</v>
      </c>
      <c r="C422" s="27" t="n">
        <v>1047.21</v>
      </c>
      <c r="D422" s="27" t="n">
        <v>19400.98</v>
      </c>
      <c r="E422" s="28">
        <f>(C422-C421)/C421</f>
        <v/>
      </c>
      <c r="F422" s="28">
        <f>(D422-D421)/D421</f>
        <v/>
      </c>
      <c r="G422" s="29">
        <f>E422-$H$27</f>
        <v/>
      </c>
      <c r="H422" s="29">
        <f>F422-$H$28</f>
        <v/>
      </c>
    </row>
    <row r="423" ht="15" customHeight="1">
      <c r="B423" s="24" t="n">
        <v>44785</v>
      </c>
      <c r="C423" s="25" t="n">
        <v>1065.12</v>
      </c>
      <c r="D423" s="25" t="n">
        <v>19116.03</v>
      </c>
      <c r="E423" s="30">
        <f>(C423-C422)/C422</f>
        <v/>
      </c>
      <c r="F423" s="30">
        <f>(D423-D422)/D422</f>
        <v/>
      </c>
      <c r="G423" s="29">
        <f>E423-$H$27</f>
        <v/>
      </c>
      <c r="H423" s="29">
        <f>F423-$H$28</f>
        <v/>
      </c>
    </row>
    <row r="424" ht="15" customHeight="1">
      <c r="B424" s="26" t="n">
        <v>44788</v>
      </c>
      <c r="C424" s="27" t="n">
        <v>1072.86</v>
      </c>
      <c r="D424" s="27" t="n">
        <v>19258.04</v>
      </c>
      <c r="E424" s="28">
        <f>(C424-C423)/C423</f>
        <v/>
      </c>
      <c r="F424" s="28">
        <f>(D424-D423)/D423</f>
        <v/>
      </c>
      <c r="G424" s="29">
        <f>E424-$H$27</f>
        <v/>
      </c>
      <c r="H424" s="29">
        <f>F424-$H$28</f>
        <v/>
      </c>
    </row>
    <row r="425" ht="15" customHeight="1">
      <c r="B425" s="24" t="n">
        <v>44789</v>
      </c>
      <c r="C425" s="25" t="n">
        <v>1101.81</v>
      </c>
      <c r="D425" s="25" t="n">
        <v>19390.26</v>
      </c>
      <c r="E425" s="30">
        <f>(C425-C424)/C424</f>
        <v/>
      </c>
      <c r="F425" s="30">
        <f>(D425-D424)/D424</f>
        <v/>
      </c>
      <c r="G425" s="29">
        <f>E425-$H$27</f>
        <v/>
      </c>
      <c r="H425" s="29">
        <f>F425-$H$28</f>
        <v/>
      </c>
    </row>
    <row r="426" ht="15" customHeight="1">
      <c r="B426" s="26" t="n">
        <v>44790</v>
      </c>
      <c r="C426" s="27" t="n">
        <v>1079.79</v>
      </c>
      <c r="D426" s="27" t="n">
        <v>19339.59</v>
      </c>
      <c r="E426" s="28">
        <f>(C426-C425)/C425</f>
        <v/>
      </c>
      <c r="F426" s="28">
        <f>(D426-D425)/D425</f>
        <v/>
      </c>
      <c r="G426" s="29">
        <f>E426-$H$27</f>
        <v/>
      </c>
      <c r="H426" s="29">
        <f>F426-$H$28</f>
        <v/>
      </c>
    </row>
    <row r="427" ht="15" customHeight="1">
      <c r="B427" s="24" t="n">
        <v>44791</v>
      </c>
      <c r="C427" s="25" t="n">
        <v>1086.74</v>
      </c>
      <c r="D427" s="25" t="n">
        <v>19534.12</v>
      </c>
      <c r="E427" s="30">
        <f>(C427-C426)/C426</f>
        <v/>
      </c>
      <c r="F427" s="30">
        <f>(D427-D426)/D426</f>
        <v/>
      </c>
      <c r="G427" s="29">
        <f>E427-$H$27</f>
        <v/>
      </c>
      <c r="H427" s="29">
        <f>F427-$H$28</f>
        <v/>
      </c>
    </row>
    <row r="428" ht="15" customHeight="1">
      <c r="B428" s="26" t="n">
        <v>44792</v>
      </c>
      <c r="C428" s="27" t="n">
        <v>1098.3</v>
      </c>
      <c r="D428" s="27" t="n">
        <v>19476.51</v>
      </c>
      <c r="E428" s="28">
        <f>(C428-C427)/C427</f>
        <v/>
      </c>
      <c r="F428" s="28">
        <f>(D428-D427)/D427</f>
        <v/>
      </c>
      <c r="G428" s="29">
        <f>E428-$H$27</f>
        <v/>
      </c>
      <c r="H428" s="29">
        <f>F428-$H$28</f>
        <v/>
      </c>
    </row>
    <row r="429" ht="15" customHeight="1">
      <c r="B429" s="24" t="n">
        <v>44795</v>
      </c>
      <c r="C429" s="25" t="n">
        <v>1106.47</v>
      </c>
      <c r="D429" s="25" t="n">
        <v>19037.11</v>
      </c>
      <c r="E429" s="30">
        <f>(C429-C428)/C428</f>
        <v/>
      </c>
      <c r="F429" s="30">
        <f>(D429-D428)/D428</f>
        <v/>
      </c>
      <c r="G429" s="29">
        <f>E429-$H$27</f>
        <v/>
      </c>
      <c r="H429" s="29">
        <f>F429-$H$28</f>
        <v/>
      </c>
    </row>
    <row r="430" ht="15" customHeight="1">
      <c r="B430" s="26" t="n">
        <v>44796</v>
      </c>
      <c r="C430" s="27" t="n">
        <v>1111.07</v>
      </c>
      <c r="D430" s="27" t="n">
        <v>19126.43</v>
      </c>
      <c r="E430" s="28">
        <f>(C430-C429)/C429</f>
        <v/>
      </c>
      <c r="F430" s="28">
        <f>(D430-D429)/D429</f>
        <v/>
      </c>
      <c r="G430" s="29">
        <f>E430-$H$27</f>
        <v/>
      </c>
      <c r="H430" s="29">
        <f>F430-$H$28</f>
        <v/>
      </c>
    </row>
    <row r="431" ht="15" customHeight="1">
      <c r="B431" s="24" t="n">
        <v>44797</v>
      </c>
      <c r="C431" s="25" t="n">
        <v>1117.45</v>
      </c>
      <c r="D431" s="25" t="n">
        <v>19002.81</v>
      </c>
      <c r="E431" s="30">
        <f>(C431-C430)/C430</f>
        <v/>
      </c>
      <c r="F431" s="30">
        <f>(D431-D430)/D430</f>
        <v/>
      </c>
      <c r="G431" s="29">
        <f>E431-$H$27</f>
        <v/>
      </c>
      <c r="H431" s="29">
        <f>F431-$H$28</f>
        <v/>
      </c>
    </row>
    <row r="432" ht="15" customHeight="1">
      <c r="B432" s="26" t="n">
        <v>44798</v>
      </c>
      <c r="C432" s="27" t="n">
        <v>1146.79</v>
      </c>
      <c r="D432" s="27" t="n">
        <v>19019.55</v>
      </c>
      <c r="E432" s="28">
        <f>(C432-C431)/C431</f>
        <v/>
      </c>
      <c r="F432" s="28">
        <f>(D432-D431)/D431</f>
        <v/>
      </c>
      <c r="G432" s="29">
        <f>E432-$H$27</f>
        <v/>
      </c>
      <c r="H432" s="29">
        <f>F432-$H$28</f>
        <v/>
      </c>
    </row>
    <row r="433" ht="15" customHeight="1">
      <c r="B433" s="24" t="n">
        <v>44799</v>
      </c>
      <c r="C433" s="25" t="n">
        <v>1154.65</v>
      </c>
      <c r="D433" s="25" t="n">
        <v>19000</v>
      </c>
      <c r="E433" s="30">
        <f>(C433-C432)/C432</f>
        <v/>
      </c>
      <c r="F433" s="30">
        <f>(D433-D432)/D432</f>
        <v/>
      </c>
      <c r="G433" s="29">
        <f>E433-$H$27</f>
        <v/>
      </c>
      <c r="H433" s="29">
        <f>F433-$H$28</f>
        <v/>
      </c>
    </row>
    <row r="434" ht="15" customHeight="1">
      <c r="B434" s="26" t="n">
        <v>44802</v>
      </c>
      <c r="C434" s="27" t="n">
        <v>1179.4</v>
      </c>
      <c r="D434" s="27" t="n">
        <v>19009.73</v>
      </c>
      <c r="E434" s="28">
        <f>(C434-C433)/C433</f>
        <v/>
      </c>
      <c r="F434" s="28">
        <f>(D434-D433)/D433</f>
        <v/>
      </c>
      <c r="G434" s="29">
        <f>E434-$H$27</f>
        <v/>
      </c>
      <c r="H434" s="29">
        <f>F434-$H$28</f>
        <v/>
      </c>
    </row>
    <row r="435" ht="15" customHeight="1">
      <c r="B435" s="24" t="n">
        <v>44803</v>
      </c>
      <c r="C435" s="25" t="n">
        <v>1161.62</v>
      </c>
      <c r="D435" s="25" t="n">
        <v>19000.87</v>
      </c>
      <c r="E435" s="30">
        <f>(C435-C434)/C434</f>
        <v/>
      </c>
      <c r="F435" s="30">
        <f>(D435-D434)/D434</f>
        <v/>
      </c>
      <c r="G435" s="29">
        <f>E435-$H$27</f>
        <v/>
      </c>
      <c r="H435" s="29">
        <f>F435-$H$28</f>
        <v/>
      </c>
    </row>
    <row r="436" ht="15" customHeight="1">
      <c r="B436" s="26" t="n">
        <v>44804</v>
      </c>
      <c r="C436" s="27" t="n">
        <v>1161.61</v>
      </c>
      <c r="D436" s="27" t="n">
        <v>18943.9</v>
      </c>
      <c r="E436" s="28">
        <f>(C436-C435)/C435</f>
        <v/>
      </c>
      <c r="F436" s="28">
        <f>(D436-D435)/D435</f>
        <v/>
      </c>
      <c r="G436" s="29">
        <f>E436-$H$27</f>
        <v/>
      </c>
      <c r="H436" s="29">
        <f>F436-$H$28</f>
        <v/>
      </c>
    </row>
    <row r="437" ht="15" customHeight="1">
      <c r="B437" s="24" t="n">
        <v>44805</v>
      </c>
      <c r="C437" s="25" t="n">
        <v>1153.49</v>
      </c>
      <c r="D437" s="25" t="n">
        <v>19067.29</v>
      </c>
      <c r="E437" s="30">
        <f>(C437-C436)/C436</f>
        <v/>
      </c>
      <c r="F437" s="30">
        <f>(D437-D436)/D436</f>
        <v/>
      </c>
      <c r="G437" s="29">
        <f>E437-$H$27</f>
        <v/>
      </c>
      <c r="H437" s="29">
        <f>F437-$H$28</f>
        <v/>
      </c>
    </row>
    <row r="438" ht="15" customHeight="1">
      <c r="B438" s="26" t="n">
        <v>44806</v>
      </c>
      <c r="C438" s="27" t="n">
        <v>1189.97</v>
      </c>
      <c r="D438" s="27" t="n">
        <v>19146.16</v>
      </c>
      <c r="E438" s="28">
        <f>(C438-C437)/C437</f>
        <v/>
      </c>
      <c r="F438" s="28">
        <f>(D438-D437)/D437</f>
        <v/>
      </c>
      <c r="G438" s="29">
        <f>E438-$H$27</f>
        <v/>
      </c>
      <c r="H438" s="29">
        <f>F438-$H$28</f>
        <v/>
      </c>
    </row>
    <row r="439" ht="15" customHeight="1">
      <c r="B439" s="24" t="n">
        <v>44809</v>
      </c>
      <c r="C439" s="25" t="n">
        <v>1176.92</v>
      </c>
      <c r="D439" s="25" t="n">
        <v>19628.99</v>
      </c>
      <c r="E439" s="30">
        <f>(C439-C438)/C438</f>
        <v/>
      </c>
      <c r="F439" s="30">
        <f>(D439-D438)/D438</f>
        <v/>
      </c>
      <c r="G439" s="29">
        <f>E439-$H$27</f>
        <v/>
      </c>
      <c r="H439" s="29">
        <f>F439-$H$28</f>
        <v/>
      </c>
    </row>
    <row r="440" ht="15" customHeight="1">
      <c r="B440" s="26" t="n">
        <v>44810</v>
      </c>
      <c r="C440" s="27" t="n">
        <v>1161.72</v>
      </c>
      <c r="D440" s="27" t="n">
        <v>19343.25</v>
      </c>
      <c r="E440" s="28">
        <f>(C440-C439)/C439</f>
        <v/>
      </c>
      <c r="F440" s="28">
        <f>(D440-D439)/D439</f>
        <v/>
      </c>
      <c r="G440" s="29">
        <f>E440-$H$27</f>
        <v/>
      </c>
      <c r="H440" s="29">
        <f>F440-$H$28</f>
        <v/>
      </c>
    </row>
    <row r="441" ht="15" customHeight="1">
      <c r="B441" s="24" t="n">
        <v>44811</v>
      </c>
      <c r="C441" s="25" t="n">
        <v>1160.37</v>
      </c>
      <c r="D441" s="25" t="n">
        <v>19400.1</v>
      </c>
      <c r="E441" s="30">
        <f>(C441-C440)/C440</f>
        <v/>
      </c>
      <c r="F441" s="30">
        <f>(D441-D440)/D440</f>
        <v/>
      </c>
      <c r="G441" s="29">
        <f>E441-$H$27</f>
        <v/>
      </c>
      <c r="H441" s="29">
        <f>F441-$H$28</f>
        <v/>
      </c>
    </row>
    <row r="442" ht="15" customHeight="1">
      <c r="B442" s="26" t="n">
        <v>44812</v>
      </c>
      <c r="C442" s="27" t="n">
        <v>1166.94</v>
      </c>
      <c r="D442" s="27" t="n">
        <v>19495.59</v>
      </c>
      <c r="E442" s="28">
        <f>(C442-C441)/C441</f>
        <v/>
      </c>
      <c r="F442" s="28">
        <f>(D442-D441)/D441</f>
        <v/>
      </c>
      <c r="G442" s="29">
        <f>E442-$H$27</f>
        <v/>
      </c>
      <c r="H442" s="29">
        <f>F442-$H$28</f>
        <v/>
      </c>
    </row>
    <row r="443" ht="15" customHeight="1">
      <c r="B443" s="24" t="n">
        <v>44813</v>
      </c>
      <c r="C443" s="25" t="n">
        <v>1215.64</v>
      </c>
      <c r="D443" s="25" t="n">
        <v>19658.36</v>
      </c>
      <c r="E443" s="30">
        <f>(C443-C442)/C442</f>
        <v/>
      </c>
      <c r="F443" s="30">
        <f>(D443-D442)/D442</f>
        <v/>
      </c>
      <c r="G443" s="29">
        <f>E443-$H$27</f>
        <v/>
      </c>
      <c r="H443" s="29">
        <f>F443-$H$28</f>
        <v/>
      </c>
    </row>
    <row r="444" ht="15" customHeight="1">
      <c r="B444" s="26" t="n">
        <v>44816</v>
      </c>
      <c r="C444" s="27" t="n">
        <v>1204.81</v>
      </c>
      <c r="D444" s="27" t="n">
        <v>19694.09</v>
      </c>
      <c r="E444" s="28">
        <f>(C444-C443)/C443</f>
        <v/>
      </c>
      <c r="F444" s="28">
        <f>(D444-D443)/D443</f>
        <v/>
      </c>
      <c r="G444" s="29">
        <f>E444-$H$27</f>
        <v/>
      </c>
      <c r="H444" s="29">
        <f>F444-$H$28</f>
        <v/>
      </c>
    </row>
    <row r="445" ht="15" customHeight="1">
      <c r="B445" s="24" t="n">
        <v>44817</v>
      </c>
      <c r="C445" s="25" t="n">
        <v>1215.3</v>
      </c>
      <c r="D445" s="25" t="n">
        <v>19749.01</v>
      </c>
      <c r="E445" s="30">
        <f>(C445-C444)/C444</f>
        <v/>
      </c>
      <c r="F445" s="30">
        <f>(D445-D444)/D444</f>
        <v/>
      </c>
      <c r="G445" s="29">
        <f>E445-$H$27</f>
        <v/>
      </c>
      <c r="H445" s="29">
        <f>F445-$H$28</f>
        <v/>
      </c>
    </row>
    <row r="446" ht="15" customHeight="1">
      <c r="B446" s="26" t="n">
        <v>44818</v>
      </c>
      <c r="C446" s="27" t="n">
        <v>1250.4</v>
      </c>
      <c r="D446" s="27" t="n">
        <v>20120.42</v>
      </c>
      <c r="E446" s="28">
        <f>(C446-C445)/C445</f>
        <v/>
      </c>
      <c r="F446" s="28">
        <f>(D446-D445)/D445</f>
        <v/>
      </c>
      <c r="G446" s="29">
        <f>E446-$H$27</f>
        <v/>
      </c>
      <c r="H446" s="29">
        <f>F446-$H$28</f>
        <v/>
      </c>
    </row>
    <row r="447" ht="15" customHeight="1">
      <c r="B447" s="24" t="n">
        <v>44819</v>
      </c>
      <c r="C447" s="25" t="n">
        <v>1231.37</v>
      </c>
      <c r="D447" s="25" t="n">
        <v>19940.59</v>
      </c>
      <c r="E447" s="30">
        <f>(C447-C446)/C446</f>
        <v/>
      </c>
      <c r="F447" s="30">
        <f>(D447-D446)/D446</f>
        <v/>
      </c>
      <c r="G447" s="29">
        <f>E447-$H$27</f>
        <v/>
      </c>
      <c r="H447" s="29">
        <f>F447-$H$28</f>
        <v/>
      </c>
    </row>
    <row r="448" ht="15" customHeight="1">
      <c r="B448" s="26" t="n">
        <v>44820</v>
      </c>
      <c r="C448" s="27" t="n">
        <v>1193.29</v>
      </c>
      <c r="D448" s="27" t="n">
        <v>19956.92</v>
      </c>
      <c r="E448" s="28">
        <f>(C448-C447)/C447</f>
        <v/>
      </c>
      <c r="F448" s="28">
        <f>(D448-D447)/D447</f>
        <v/>
      </c>
      <c r="G448" s="29">
        <f>E448-$H$27</f>
        <v/>
      </c>
      <c r="H448" s="29">
        <f>F448-$H$28</f>
        <v/>
      </c>
    </row>
    <row r="449" ht="15" customHeight="1">
      <c r="B449" s="24" t="n">
        <v>44823</v>
      </c>
      <c r="C449" s="25" t="n">
        <v>1172.83</v>
      </c>
      <c r="D449" s="25" t="n">
        <v>19671.73</v>
      </c>
      <c r="E449" s="30">
        <f>(C449-C448)/C448</f>
        <v/>
      </c>
      <c r="F449" s="30">
        <f>(D449-D448)/D448</f>
        <v/>
      </c>
      <c r="G449" s="29">
        <f>E449-$H$27</f>
        <v/>
      </c>
      <c r="H449" s="29">
        <f>F449-$H$28</f>
        <v/>
      </c>
    </row>
    <row r="450" ht="15" customHeight="1">
      <c r="B450" s="26" t="n">
        <v>44824</v>
      </c>
      <c r="C450" s="27" t="n">
        <v>1193.75</v>
      </c>
      <c r="D450" s="27" t="n">
        <v>19677.5</v>
      </c>
      <c r="E450" s="28">
        <f>(C450-C449)/C449</f>
        <v/>
      </c>
      <c r="F450" s="28">
        <f>(D450-D449)/D449</f>
        <v/>
      </c>
      <c r="G450" s="29">
        <f>E450-$H$27</f>
        <v/>
      </c>
      <c r="H450" s="29">
        <f>F450-$H$28</f>
        <v/>
      </c>
    </row>
    <row r="451" ht="15" customHeight="1">
      <c r="B451" s="24" t="n">
        <v>44825</v>
      </c>
      <c r="C451" s="25" t="n">
        <v>1182.49</v>
      </c>
      <c r="D451" s="25" t="n">
        <v>19452.25</v>
      </c>
      <c r="E451" s="30">
        <f>(C451-C450)/C450</f>
        <v/>
      </c>
      <c r="F451" s="30">
        <f>(D451-D450)/D450</f>
        <v/>
      </c>
      <c r="G451" s="29">
        <f>E451-$H$27</f>
        <v/>
      </c>
      <c r="H451" s="29">
        <f>F451-$H$28</f>
        <v/>
      </c>
    </row>
    <row r="452" ht="15" customHeight="1">
      <c r="B452" s="26" t="n">
        <v>44826</v>
      </c>
      <c r="C452" s="27" t="n">
        <v>1184.07</v>
      </c>
      <c r="D452" s="27" t="n">
        <v>19567.44</v>
      </c>
      <c r="E452" s="28">
        <f>(C452-C451)/C451</f>
        <v/>
      </c>
      <c r="F452" s="28">
        <f>(D452-D451)/D451</f>
        <v/>
      </c>
      <c r="G452" s="29">
        <f>E452-$H$27</f>
        <v/>
      </c>
      <c r="H452" s="29">
        <f>F452-$H$28</f>
        <v/>
      </c>
    </row>
    <row r="453" ht="15" customHeight="1">
      <c r="B453" s="24" t="n">
        <v>44827</v>
      </c>
      <c r="C453" s="25" t="n">
        <v>1209.56</v>
      </c>
      <c r="D453" s="25" t="n">
        <v>19701.02</v>
      </c>
      <c r="E453" s="30">
        <f>(C453-C452)/C452</f>
        <v/>
      </c>
      <c r="F453" s="30">
        <f>(D453-D452)/D452</f>
        <v/>
      </c>
      <c r="G453" s="29">
        <f>E453-$H$27</f>
        <v/>
      </c>
      <c r="H453" s="29">
        <f>F453-$H$28</f>
        <v/>
      </c>
    </row>
    <row r="454" ht="15" customHeight="1">
      <c r="B454" s="26" t="n">
        <v>44830</v>
      </c>
      <c r="C454" s="27" t="n">
        <v>1192.58</v>
      </c>
      <c r="D454" s="27" t="n">
        <v>19504.23</v>
      </c>
      <c r="E454" s="28">
        <f>(C454-C453)/C453</f>
        <v/>
      </c>
      <c r="F454" s="28">
        <f>(D454-D453)/D453</f>
        <v/>
      </c>
      <c r="G454" s="29">
        <f>E454-$H$27</f>
        <v/>
      </c>
      <c r="H454" s="29">
        <f>F454-$H$28</f>
        <v/>
      </c>
    </row>
    <row r="455" ht="15" customHeight="1">
      <c r="B455" s="24" t="n">
        <v>44831</v>
      </c>
      <c r="C455" s="25" t="n">
        <v>1231.93</v>
      </c>
      <c r="D455" s="25" t="n">
        <v>19532.75</v>
      </c>
      <c r="E455" s="30">
        <f>(C455-C454)/C454</f>
        <v/>
      </c>
      <c r="F455" s="30">
        <f>(D455-D454)/D454</f>
        <v/>
      </c>
      <c r="G455" s="29">
        <f>E455-$H$27</f>
        <v/>
      </c>
      <c r="H455" s="29">
        <f>F455-$H$28</f>
        <v/>
      </c>
    </row>
    <row r="456" ht="15" customHeight="1">
      <c r="B456" s="26" t="n">
        <v>44832</v>
      </c>
      <c r="C456" s="27" t="n">
        <v>1252.58</v>
      </c>
      <c r="D456" s="27" t="n">
        <v>19704.26</v>
      </c>
      <c r="E456" s="28">
        <f>(C456-C455)/C455</f>
        <v/>
      </c>
      <c r="F456" s="28">
        <f>(D456-D455)/D455</f>
        <v/>
      </c>
      <c r="G456" s="29">
        <f>E456-$H$27</f>
        <v/>
      </c>
      <c r="H456" s="29">
        <f>F456-$H$28</f>
        <v/>
      </c>
    </row>
    <row r="457" ht="15" customHeight="1">
      <c r="B457" s="24" t="n">
        <v>44833</v>
      </c>
      <c r="C457" s="25" t="n">
        <v>1305.18</v>
      </c>
      <c r="D457" s="25" t="n">
        <v>19688.03</v>
      </c>
      <c r="E457" s="30">
        <f>(C457-C456)/C456</f>
        <v/>
      </c>
      <c r="F457" s="30">
        <f>(D457-D456)/D456</f>
        <v/>
      </c>
      <c r="G457" s="29">
        <f>E457-$H$27</f>
        <v/>
      </c>
      <c r="H457" s="29">
        <f>F457-$H$28</f>
        <v/>
      </c>
    </row>
    <row r="458" ht="15" customHeight="1">
      <c r="B458" s="26" t="n">
        <v>44834</v>
      </c>
      <c r="C458" s="27" t="n">
        <v>1329.24</v>
      </c>
      <c r="D458" s="27" t="n">
        <v>19228.52</v>
      </c>
      <c r="E458" s="28">
        <f>(C458-C457)/C457</f>
        <v/>
      </c>
      <c r="F458" s="28">
        <f>(D458-D457)/D457</f>
        <v/>
      </c>
      <c r="G458" s="29">
        <f>E458-$H$27</f>
        <v/>
      </c>
      <c r="H458" s="29">
        <f>F458-$H$28</f>
        <v/>
      </c>
    </row>
    <row r="459" ht="15" customHeight="1">
      <c r="B459" s="24" t="n">
        <v>44837</v>
      </c>
      <c r="C459" s="25" t="n">
        <v>1336.13</v>
      </c>
      <c r="D459" s="25" t="n">
        <v>19427.45</v>
      </c>
      <c r="E459" s="30">
        <f>(C459-C458)/C458</f>
        <v/>
      </c>
      <c r="F459" s="30">
        <f>(D459-D458)/D458</f>
        <v/>
      </c>
      <c r="G459" s="29">
        <f>E459-$H$27</f>
        <v/>
      </c>
      <c r="H459" s="29">
        <f>F459-$H$28</f>
        <v/>
      </c>
    </row>
    <row r="460" ht="15" customHeight="1">
      <c r="B460" s="26" t="n">
        <v>44838</v>
      </c>
      <c r="C460" s="27" t="n">
        <v>1321.45</v>
      </c>
      <c r="D460" s="27" t="n">
        <v>19313.87</v>
      </c>
      <c r="E460" s="28">
        <f>(C460-C459)/C459</f>
        <v/>
      </c>
      <c r="F460" s="28">
        <f>(D460-D459)/D459</f>
        <v/>
      </c>
      <c r="G460" s="29">
        <f>E460-$H$27</f>
        <v/>
      </c>
      <c r="H460" s="29">
        <f>F460-$H$28</f>
        <v/>
      </c>
    </row>
    <row r="461" ht="15" customHeight="1">
      <c r="B461" s="24" t="n">
        <v>44839</v>
      </c>
      <c r="C461" s="25" t="n">
        <v>1295.08</v>
      </c>
      <c r="D461" s="25" t="n">
        <v>19166.26</v>
      </c>
      <c r="E461" s="30">
        <f>(C461-C460)/C460</f>
        <v/>
      </c>
      <c r="F461" s="30">
        <f>(D461-D460)/D460</f>
        <v/>
      </c>
      <c r="G461" s="29">
        <f>E461-$H$27</f>
        <v/>
      </c>
      <c r="H461" s="29">
        <f>F461-$H$28</f>
        <v/>
      </c>
    </row>
    <row r="462" ht="15" customHeight="1">
      <c r="B462" s="26" t="n">
        <v>44840</v>
      </c>
      <c r="C462" s="27" t="n">
        <v>1272.54</v>
      </c>
      <c r="D462" s="27" t="n">
        <v>19081.3</v>
      </c>
      <c r="E462" s="28">
        <f>(C462-C461)/C461</f>
        <v/>
      </c>
      <c r="F462" s="28">
        <f>(D462-D461)/D461</f>
        <v/>
      </c>
      <c r="G462" s="29">
        <f>E462-$H$27</f>
        <v/>
      </c>
      <c r="H462" s="29">
        <f>F462-$H$28</f>
        <v/>
      </c>
    </row>
    <row r="463" ht="15" customHeight="1">
      <c r="B463" s="24" t="n">
        <v>44841</v>
      </c>
      <c r="C463" s="25" t="n">
        <v>1281.6</v>
      </c>
      <c r="D463" s="25" t="n">
        <v>19228.46</v>
      </c>
      <c r="E463" s="30">
        <f>(C463-C462)/C462</f>
        <v/>
      </c>
      <c r="F463" s="30">
        <f>(D463-D462)/D462</f>
        <v/>
      </c>
      <c r="G463" s="29">
        <f>E463-$H$27</f>
        <v/>
      </c>
      <c r="H463" s="29">
        <f>F463-$H$28</f>
        <v/>
      </c>
    </row>
    <row r="464" ht="15" customHeight="1">
      <c r="B464" s="26" t="n">
        <v>44844</v>
      </c>
      <c r="C464" s="27" t="n">
        <v>1302.19</v>
      </c>
      <c r="D464" s="27" t="n">
        <v>19644.63</v>
      </c>
      <c r="E464" s="28">
        <f>(C464-C463)/C463</f>
        <v/>
      </c>
      <c r="F464" s="28">
        <f>(D464-D463)/D463</f>
        <v/>
      </c>
      <c r="G464" s="29">
        <f>E464-$H$27</f>
        <v/>
      </c>
      <c r="H464" s="29">
        <f>F464-$H$28</f>
        <v/>
      </c>
    </row>
    <row r="465" ht="15" customHeight="1">
      <c r="B465" s="24" t="n">
        <v>44845</v>
      </c>
      <c r="C465" s="25" t="n">
        <v>1335.97</v>
      </c>
      <c r="D465" s="25" t="n">
        <v>19646.05</v>
      </c>
      <c r="E465" s="30">
        <f>(C465-C464)/C464</f>
        <v/>
      </c>
      <c r="F465" s="30">
        <f>(D465-D464)/D464</f>
        <v/>
      </c>
      <c r="G465" s="29">
        <f>E465-$H$27</f>
        <v/>
      </c>
      <c r="H465" s="29">
        <f>F465-$H$28</f>
        <v/>
      </c>
    </row>
    <row r="466" ht="15" customHeight="1">
      <c r="B466" s="26" t="n">
        <v>44846</v>
      </c>
      <c r="C466" s="27" t="n">
        <v>1321.02</v>
      </c>
      <c r="D466" s="27" t="n">
        <v>19611.71</v>
      </c>
      <c r="E466" s="28">
        <f>(C466-C465)/C465</f>
        <v/>
      </c>
      <c r="F466" s="28">
        <f>(D466-D465)/D465</f>
        <v/>
      </c>
      <c r="G466" s="29">
        <f>E466-$H$27</f>
        <v/>
      </c>
      <c r="H466" s="29">
        <f>F466-$H$28</f>
        <v/>
      </c>
    </row>
    <row r="467" ht="15" customHeight="1">
      <c r="B467" s="24" t="n">
        <v>44847</v>
      </c>
      <c r="C467" s="25" t="n">
        <v>1323.22</v>
      </c>
      <c r="D467" s="25" t="n">
        <v>19854.19</v>
      </c>
      <c r="E467" s="30">
        <f>(C467-C466)/C466</f>
        <v/>
      </c>
      <c r="F467" s="30">
        <f>(D467-D466)/D466</f>
        <v/>
      </c>
      <c r="G467" s="29">
        <f>E467-$H$27</f>
        <v/>
      </c>
      <c r="H467" s="29">
        <f>F467-$H$28</f>
        <v/>
      </c>
    </row>
    <row r="468" ht="15" customHeight="1">
      <c r="B468" s="26" t="n">
        <v>44848</v>
      </c>
      <c r="C468" s="27" t="n">
        <v>1351.89</v>
      </c>
      <c r="D468" s="27" t="n">
        <v>20158.72</v>
      </c>
      <c r="E468" s="28">
        <f>(C468-C467)/C467</f>
        <v/>
      </c>
      <c r="F468" s="28">
        <f>(D468-D467)/D467</f>
        <v/>
      </c>
      <c r="G468" s="29">
        <f>E468-$H$27</f>
        <v/>
      </c>
      <c r="H468" s="29">
        <f>F468-$H$28</f>
        <v/>
      </c>
    </row>
    <row r="469" ht="15" customHeight="1">
      <c r="B469" s="24" t="n">
        <v>44851</v>
      </c>
      <c r="C469" s="25" t="n">
        <v>1348.08</v>
      </c>
      <c r="D469" s="25" t="n">
        <v>20116.45</v>
      </c>
      <c r="E469" s="30">
        <f>(C469-C468)/C468</f>
        <v/>
      </c>
      <c r="F469" s="30">
        <f>(D469-D468)/D468</f>
        <v/>
      </c>
      <c r="G469" s="29">
        <f>E469-$H$27</f>
        <v/>
      </c>
      <c r="H469" s="29">
        <f>F469-$H$28</f>
        <v/>
      </c>
    </row>
    <row r="470" ht="15" customHeight="1">
      <c r="B470" s="26" t="n">
        <v>44852</v>
      </c>
      <c r="C470" s="27" t="n">
        <v>1351.26</v>
      </c>
      <c r="D470" s="27" t="n">
        <v>20095.7</v>
      </c>
      <c r="E470" s="28">
        <f>(C470-C469)/C469</f>
        <v/>
      </c>
      <c r="F470" s="28">
        <f>(D470-D469)/D469</f>
        <v/>
      </c>
      <c r="G470" s="29">
        <f>E470-$H$27</f>
        <v/>
      </c>
      <c r="H470" s="29">
        <f>F470-$H$28</f>
        <v/>
      </c>
    </row>
    <row r="471" ht="15" customHeight="1">
      <c r="B471" s="24" t="n">
        <v>44853</v>
      </c>
      <c r="C471" s="25" t="n">
        <v>1296.35</v>
      </c>
      <c r="D471" s="25" t="n">
        <v>19973.23</v>
      </c>
      <c r="E471" s="30">
        <f>(C471-C470)/C470</f>
        <v/>
      </c>
      <c r="F471" s="30">
        <f>(D471-D470)/D470</f>
        <v/>
      </c>
      <c r="G471" s="29">
        <f>E471-$H$27</f>
        <v/>
      </c>
      <c r="H471" s="29">
        <f>F471-$H$28</f>
        <v/>
      </c>
    </row>
    <row r="472" ht="15" customHeight="1">
      <c r="B472" s="26" t="n">
        <v>44854</v>
      </c>
      <c r="C472" s="27" t="n">
        <v>1302.79</v>
      </c>
      <c r="D472" s="27" t="n">
        <v>19814.55</v>
      </c>
      <c r="E472" s="28">
        <f>(C472-C471)/C471</f>
        <v/>
      </c>
      <c r="F472" s="28">
        <f>(D472-D471)/D471</f>
        <v/>
      </c>
      <c r="G472" s="29">
        <f>E472-$H$27</f>
        <v/>
      </c>
      <c r="H472" s="29">
        <f>F472-$H$28</f>
        <v/>
      </c>
    </row>
    <row r="473" ht="15" customHeight="1">
      <c r="B473" s="24" t="n">
        <v>44855</v>
      </c>
      <c r="C473" s="25" t="n">
        <v>1325.22</v>
      </c>
      <c r="D473" s="25" t="n">
        <v>19898.3</v>
      </c>
      <c r="E473" s="30">
        <f>(C473-C472)/C472</f>
        <v/>
      </c>
      <c r="F473" s="30">
        <f>(D473-D472)/D472</f>
        <v/>
      </c>
      <c r="G473" s="29">
        <f>E473-$H$27</f>
        <v/>
      </c>
      <c r="H473" s="29">
        <f>F473-$H$28</f>
        <v/>
      </c>
    </row>
    <row r="474" ht="15" customHeight="1">
      <c r="B474" s="26" t="n">
        <v>44858</v>
      </c>
      <c r="C474" s="27" t="n">
        <v>1333.85</v>
      </c>
      <c r="D474" s="27" t="n">
        <v>20111.72</v>
      </c>
      <c r="E474" s="28">
        <f>(C474-C473)/C473</f>
        <v/>
      </c>
      <c r="F474" s="28">
        <f>(D474-D473)/D473</f>
        <v/>
      </c>
      <c r="G474" s="29">
        <f>E474-$H$27</f>
        <v/>
      </c>
      <c r="H474" s="29">
        <f>F474-$H$28</f>
        <v/>
      </c>
    </row>
    <row r="475" ht="15" customHeight="1">
      <c r="B475" s="24" t="n">
        <v>44859</v>
      </c>
      <c r="C475" s="25" t="n">
        <v>1343.67</v>
      </c>
      <c r="D475" s="25" t="n">
        <v>19662.15</v>
      </c>
      <c r="E475" s="30">
        <f>(C475-C474)/C474</f>
        <v/>
      </c>
      <c r="F475" s="30">
        <f>(D475-D474)/D474</f>
        <v/>
      </c>
      <c r="G475" s="29">
        <f>E475-$H$27</f>
        <v/>
      </c>
      <c r="H475" s="29">
        <f>F475-$H$28</f>
        <v/>
      </c>
    </row>
    <row r="476" ht="15" customHeight="1">
      <c r="B476" s="26" t="n">
        <v>44860</v>
      </c>
      <c r="C476" s="27" t="n">
        <v>1322.03</v>
      </c>
      <c r="D476" s="27" t="n">
        <v>19453.7</v>
      </c>
      <c r="E476" s="28">
        <f>(C476-C475)/C475</f>
        <v/>
      </c>
      <c r="F476" s="28">
        <f>(D476-D475)/D475</f>
        <v/>
      </c>
      <c r="G476" s="29">
        <f>E476-$H$27</f>
        <v/>
      </c>
      <c r="H476" s="29">
        <f>F476-$H$28</f>
        <v/>
      </c>
    </row>
    <row r="477" ht="15" customHeight="1">
      <c r="B477" s="24" t="n">
        <v>44861</v>
      </c>
      <c r="C477" s="25" t="n">
        <v>1291.85</v>
      </c>
      <c r="D477" s="25" t="n">
        <v>19454.51</v>
      </c>
      <c r="E477" s="30">
        <f>(C477-C476)/C476</f>
        <v/>
      </c>
      <c r="F477" s="30">
        <f>(D477-D476)/D476</f>
        <v/>
      </c>
      <c r="G477" s="29">
        <f>E477-$H$27</f>
        <v/>
      </c>
      <c r="H477" s="29">
        <f>F477-$H$28</f>
        <v/>
      </c>
    </row>
    <row r="478" ht="15" customHeight="1">
      <c r="B478" s="26" t="n">
        <v>44862</v>
      </c>
      <c r="C478" s="27" t="n">
        <v>1259.01</v>
      </c>
      <c r="D478" s="27" t="n">
        <v>19434.36</v>
      </c>
      <c r="E478" s="28">
        <f>(C478-C477)/C477</f>
        <v/>
      </c>
      <c r="F478" s="28">
        <f>(D478-D477)/D477</f>
        <v/>
      </c>
      <c r="G478" s="29">
        <f>E478-$H$27</f>
        <v/>
      </c>
      <c r="H478" s="29">
        <f>F478-$H$28</f>
        <v/>
      </c>
    </row>
    <row r="479" ht="15" customHeight="1">
      <c r="B479" s="24" t="n">
        <v>44865</v>
      </c>
      <c r="C479" s="25" t="n">
        <v>1233.22</v>
      </c>
      <c r="D479" s="25" t="n">
        <v>19529.79</v>
      </c>
      <c r="E479" s="30">
        <f>(C479-C478)/C478</f>
        <v/>
      </c>
      <c r="F479" s="30">
        <f>(D479-D478)/D478</f>
        <v/>
      </c>
      <c r="G479" s="29">
        <f>E479-$H$27</f>
        <v/>
      </c>
      <c r="H479" s="29">
        <f>F479-$H$28</f>
        <v/>
      </c>
    </row>
    <row r="480" ht="15" customHeight="1">
      <c r="B480" s="26" t="n">
        <v>44866</v>
      </c>
      <c r="C480" s="27" t="n">
        <v>1174.73</v>
      </c>
      <c r="D480" s="27" t="n">
        <v>19637.4</v>
      </c>
      <c r="E480" s="28">
        <f>(C480-C479)/C479</f>
        <v/>
      </c>
      <c r="F480" s="28">
        <f>(D480-D479)/D479</f>
        <v/>
      </c>
      <c r="G480" s="29">
        <f>E480-$H$27</f>
        <v/>
      </c>
      <c r="H480" s="29">
        <f>F480-$H$28</f>
        <v/>
      </c>
    </row>
    <row r="481" ht="15" customHeight="1">
      <c r="B481" s="24" t="n">
        <v>44867</v>
      </c>
      <c r="C481" s="25" t="n">
        <v>1177.02</v>
      </c>
      <c r="D481" s="25" t="n">
        <v>19737.49</v>
      </c>
      <c r="E481" s="30">
        <f>(C481-C480)/C480</f>
        <v/>
      </c>
      <c r="F481" s="30">
        <f>(D481-D480)/D480</f>
        <v/>
      </c>
      <c r="G481" s="29">
        <f>E481-$H$27</f>
        <v/>
      </c>
      <c r="H481" s="29">
        <f>F481-$H$28</f>
        <v/>
      </c>
    </row>
    <row r="482" ht="15" customHeight="1">
      <c r="B482" s="26" t="n">
        <v>44868</v>
      </c>
      <c r="C482" s="27" t="n">
        <v>1199.94</v>
      </c>
      <c r="D482" s="27" t="n">
        <v>19546.7</v>
      </c>
      <c r="E482" s="28">
        <f>(C482-C481)/C481</f>
        <v/>
      </c>
      <c r="F482" s="28">
        <f>(D482-D481)/D481</f>
        <v/>
      </c>
      <c r="G482" s="29">
        <f>E482-$H$27</f>
        <v/>
      </c>
      <c r="H482" s="29">
        <f>F482-$H$28</f>
        <v/>
      </c>
    </row>
    <row r="483" ht="15" customHeight="1">
      <c r="B483" s="24" t="n">
        <v>44869</v>
      </c>
      <c r="C483" s="25" t="n">
        <v>1250.5</v>
      </c>
      <c r="D483" s="25" t="n">
        <v>19762.72</v>
      </c>
      <c r="E483" s="30">
        <f>(C483-C482)/C482</f>
        <v/>
      </c>
      <c r="F483" s="30">
        <f>(D483-D482)/D482</f>
        <v/>
      </c>
      <c r="G483" s="29">
        <f>E483-$H$27</f>
        <v/>
      </c>
      <c r="H483" s="29">
        <f>F483-$H$28</f>
        <v/>
      </c>
    </row>
    <row r="484" ht="15" customHeight="1">
      <c r="B484" s="26" t="n">
        <v>44872</v>
      </c>
      <c r="C484" s="27" t="n">
        <v>1243.42</v>
      </c>
      <c r="D484" s="27" t="n">
        <v>19690.03</v>
      </c>
      <c r="E484" s="28">
        <f>(C484-C483)/C483</f>
        <v/>
      </c>
      <c r="F484" s="28">
        <f>(D484-D483)/D483</f>
        <v/>
      </c>
      <c r="G484" s="29">
        <f>E484-$H$27</f>
        <v/>
      </c>
      <c r="H484" s="29">
        <f>F484-$H$28</f>
        <v/>
      </c>
    </row>
    <row r="485" ht="15" customHeight="1">
      <c r="B485" s="24" t="n">
        <v>44873</v>
      </c>
      <c r="C485" s="25" t="n">
        <v>1249.79</v>
      </c>
      <c r="D485" s="25" t="n">
        <v>19864.31</v>
      </c>
      <c r="E485" s="30">
        <f>(C485-C484)/C484</f>
        <v/>
      </c>
      <c r="F485" s="30">
        <f>(D485-D484)/D484</f>
        <v/>
      </c>
      <c r="G485" s="29">
        <f>E485-$H$27</f>
        <v/>
      </c>
      <c r="H485" s="29">
        <f>F485-$H$28</f>
        <v/>
      </c>
    </row>
    <row r="486" ht="15" customHeight="1">
      <c r="B486" s="26" t="n">
        <v>44874</v>
      </c>
      <c r="C486" s="27" t="n">
        <v>1299.37</v>
      </c>
      <c r="D486" s="27" t="n">
        <v>19951.54</v>
      </c>
      <c r="E486" s="28">
        <f>(C486-C485)/C485</f>
        <v/>
      </c>
      <c r="F486" s="28">
        <f>(D486-D485)/D485</f>
        <v/>
      </c>
      <c r="G486" s="29">
        <f>E486-$H$27</f>
        <v/>
      </c>
      <c r="H486" s="29">
        <f>F486-$H$28</f>
        <v/>
      </c>
    </row>
    <row r="487" ht="15" customHeight="1">
      <c r="B487" s="24" t="n">
        <v>44875</v>
      </c>
      <c r="C487" s="25" t="n">
        <v>1302.12</v>
      </c>
      <c r="D487" s="25" t="n">
        <v>20081.93</v>
      </c>
      <c r="E487" s="30">
        <f>(C487-C486)/C486</f>
        <v/>
      </c>
      <c r="F487" s="30">
        <f>(D487-D486)/D486</f>
        <v/>
      </c>
      <c r="G487" s="29">
        <f>E487-$H$27</f>
        <v/>
      </c>
      <c r="H487" s="29">
        <f>F487-$H$28</f>
        <v/>
      </c>
    </row>
    <row r="488" ht="15" customHeight="1">
      <c r="B488" s="26" t="n">
        <v>44876</v>
      </c>
      <c r="C488" s="27" t="n">
        <v>1339.62</v>
      </c>
      <c r="D488" s="27" t="n">
        <v>19825.37</v>
      </c>
      <c r="E488" s="28">
        <f>(C488-C487)/C487</f>
        <v/>
      </c>
      <c r="F488" s="28">
        <f>(D488-D487)/D487</f>
        <v/>
      </c>
      <c r="G488" s="29">
        <f>E488-$H$27</f>
        <v/>
      </c>
      <c r="H488" s="29">
        <f>F488-$H$28</f>
        <v/>
      </c>
    </row>
    <row r="489" ht="15" customHeight="1">
      <c r="B489" s="24" t="n">
        <v>44879</v>
      </c>
      <c r="C489" s="25" t="n">
        <v>1349.19</v>
      </c>
      <c r="D489" s="25" t="n">
        <v>20119.6</v>
      </c>
      <c r="E489" s="30">
        <f>(C489-C488)/C488</f>
        <v/>
      </c>
      <c r="F489" s="30">
        <f>(D489-D488)/D488</f>
        <v/>
      </c>
      <c r="G489" s="29">
        <f>E489-$H$27</f>
        <v/>
      </c>
      <c r="H489" s="29">
        <f>F489-$H$28</f>
        <v/>
      </c>
    </row>
    <row r="490" ht="15" customHeight="1">
      <c r="B490" s="26" t="n">
        <v>44880</v>
      </c>
      <c r="C490" s="27" t="n">
        <v>1332.86</v>
      </c>
      <c r="D490" s="27" t="n">
        <v>19927.34</v>
      </c>
      <c r="E490" s="28">
        <f>(C490-C489)/C489</f>
        <v/>
      </c>
      <c r="F490" s="28">
        <f>(D490-D489)/D489</f>
        <v/>
      </c>
      <c r="G490" s="29">
        <f>E490-$H$27</f>
        <v/>
      </c>
      <c r="H490" s="29">
        <f>F490-$H$28</f>
        <v/>
      </c>
    </row>
    <row r="491" ht="15" customHeight="1">
      <c r="B491" s="24" t="n">
        <v>44881</v>
      </c>
      <c r="C491" s="25" t="n">
        <v>1358.32</v>
      </c>
      <c r="D491" s="25" t="n">
        <v>20025.4</v>
      </c>
      <c r="E491" s="30">
        <f>(C491-C490)/C490</f>
        <v/>
      </c>
      <c r="F491" s="30">
        <f>(D491-D490)/D490</f>
        <v/>
      </c>
      <c r="G491" s="29">
        <f>E491-$H$27</f>
        <v/>
      </c>
      <c r="H491" s="29">
        <f>F491-$H$28</f>
        <v/>
      </c>
    </row>
    <row r="492" ht="15" customHeight="1">
      <c r="B492" s="26" t="n">
        <v>44882</v>
      </c>
      <c r="C492" s="27" t="n">
        <v>1347.79</v>
      </c>
      <c r="D492" s="27" t="n">
        <v>19725.87</v>
      </c>
      <c r="E492" s="28">
        <f>(C492-C491)/C491</f>
        <v/>
      </c>
      <c r="F492" s="28">
        <f>(D492-D491)/D491</f>
        <v/>
      </c>
      <c r="G492" s="29">
        <f>E492-$H$27</f>
        <v/>
      </c>
      <c r="H492" s="29">
        <f>F492-$H$28</f>
        <v/>
      </c>
    </row>
    <row r="493" ht="15" customHeight="1">
      <c r="B493" s="24" t="n">
        <v>44883</v>
      </c>
      <c r="C493" s="25" t="n">
        <v>1355.82</v>
      </c>
      <c r="D493" s="25" t="n">
        <v>19604.1</v>
      </c>
      <c r="E493" s="30">
        <f>(C493-C492)/C492</f>
        <v/>
      </c>
      <c r="F493" s="30">
        <f>(D493-D492)/D492</f>
        <v/>
      </c>
      <c r="G493" s="29">
        <f>E493-$H$27</f>
        <v/>
      </c>
      <c r="H493" s="29">
        <f>F493-$H$28</f>
        <v/>
      </c>
    </row>
    <row r="494" ht="15" customHeight="1">
      <c r="B494" s="26" t="n">
        <v>44886</v>
      </c>
      <c r="C494" s="27" t="n">
        <v>1359.67</v>
      </c>
      <c r="D494" s="27" t="n">
        <v>19886.84</v>
      </c>
      <c r="E494" s="28">
        <f>(C494-C493)/C493</f>
        <v/>
      </c>
      <c r="F494" s="28">
        <f>(D494-D493)/D493</f>
        <v/>
      </c>
      <c r="G494" s="29">
        <f>E494-$H$27</f>
        <v/>
      </c>
      <c r="H494" s="29">
        <f>F494-$H$28</f>
        <v/>
      </c>
    </row>
    <row r="495" ht="15" customHeight="1">
      <c r="B495" s="24" t="n">
        <v>44887</v>
      </c>
      <c r="C495" s="25" t="n">
        <v>1369.17</v>
      </c>
      <c r="D495" s="25" t="n">
        <v>20147.79</v>
      </c>
      <c r="E495" s="30">
        <f>(C495-C494)/C494</f>
        <v/>
      </c>
      <c r="F495" s="30">
        <f>(D495-D494)/D494</f>
        <v/>
      </c>
      <c r="G495" s="29">
        <f>E495-$H$27</f>
        <v/>
      </c>
      <c r="H495" s="29">
        <f>F495-$H$28</f>
        <v/>
      </c>
    </row>
    <row r="496" ht="15" customHeight="1">
      <c r="B496" s="26" t="n">
        <v>44888</v>
      </c>
      <c r="C496" s="27" t="n">
        <v>1339.61</v>
      </c>
      <c r="D496" s="27" t="n">
        <v>20116.66</v>
      </c>
      <c r="E496" s="28">
        <f>(C496-C495)/C495</f>
        <v/>
      </c>
      <c r="F496" s="28">
        <f>(D496-D495)/D495</f>
        <v/>
      </c>
      <c r="G496" s="29">
        <f>E496-$H$27</f>
        <v/>
      </c>
      <c r="H496" s="29">
        <f>F496-$H$28</f>
        <v/>
      </c>
    </row>
    <row r="497" ht="15" customHeight="1">
      <c r="B497" s="24" t="n">
        <v>44889</v>
      </c>
      <c r="C497" s="25" t="n">
        <v>1310.41</v>
      </c>
      <c r="D497" s="25" t="n">
        <v>20221.04</v>
      </c>
      <c r="E497" s="30">
        <f>(C497-C496)/C496</f>
        <v/>
      </c>
      <c r="F497" s="30">
        <f>(D497-D496)/D496</f>
        <v/>
      </c>
      <c r="G497" s="29">
        <f>E497-$H$27</f>
        <v/>
      </c>
      <c r="H497" s="29">
        <f>F497-$H$28</f>
        <v/>
      </c>
    </row>
    <row r="498" ht="15" customHeight="1">
      <c r="B498" s="26" t="n">
        <v>44890</v>
      </c>
      <c r="C498" s="27" t="n">
        <v>1339.9</v>
      </c>
      <c r="D498" s="27" t="n">
        <v>20267.92</v>
      </c>
      <c r="E498" s="28">
        <f>(C498-C497)/C497</f>
        <v/>
      </c>
      <c r="F498" s="28">
        <f>(D498-D497)/D497</f>
        <v/>
      </c>
      <c r="G498" s="29">
        <f>E498-$H$27</f>
        <v/>
      </c>
      <c r="H498" s="29">
        <f>F498-$H$28</f>
        <v/>
      </c>
    </row>
    <row r="499" ht="15" customHeight="1">
      <c r="B499" s="24" t="n">
        <v>44893</v>
      </c>
      <c r="C499" s="25" t="n">
        <v>1352.2</v>
      </c>
      <c r="D499" s="25" t="n">
        <v>20424.73</v>
      </c>
      <c r="E499" s="30">
        <f>(C499-C498)/C498</f>
        <v/>
      </c>
      <c r="F499" s="30">
        <f>(D499-D498)/D498</f>
        <v/>
      </c>
      <c r="G499" s="29">
        <f>E499-$H$27</f>
        <v/>
      </c>
      <c r="H499" s="29">
        <f>F499-$H$28</f>
        <v/>
      </c>
    </row>
    <row r="500" ht="15" customHeight="1">
      <c r="B500" s="26" t="n">
        <v>44894</v>
      </c>
      <c r="C500" s="27" t="n">
        <v>1357.02</v>
      </c>
      <c r="D500" s="27" t="n">
        <v>20410.41</v>
      </c>
      <c r="E500" s="28">
        <f>(C500-C499)/C499</f>
        <v/>
      </c>
      <c r="F500" s="28">
        <f>(D500-D499)/D499</f>
        <v/>
      </c>
      <c r="G500" s="29">
        <f>E500-$H$27</f>
        <v/>
      </c>
      <c r="H500" s="29">
        <f>F500-$H$28</f>
        <v/>
      </c>
    </row>
    <row r="501" ht="15" customHeight="1">
      <c r="B501" s="24" t="n">
        <v>44895</v>
      </c>
      <c r="C501" s="25" t="n">
        <v>1358.34</v>
      </c>
      <c r="D501" s="25" t="n">
        <v>20358.42</v>
      </c>
      <c r="E501" s="30">
        <f>(C501-C500)/C500</f>
        <v/>
      </c>
      <c r="F501" s="30">
        <f>(D501-D500)/D500</f>
        <v/>
      </c>
      <c r="G501" s="29">
        <f>E501-$H$27</f>
        <v/>
      </c>
      <c r="H501" s="29">
        <f>F501-$H$28</f>
        <v/>
      </c>
    </row>
    <row r="502" ht="15" customHeight="1">
      <c r="B502" s="26" t="n">
        <v>44896</v>
      </c>
      <c r="C502" s="27" t="n">
        <v>1320.61</v>
      </c>
      <c r="D502" s="27" t="n">
        <v>20469.44</v>
      </c>
      <c r="E502" s="28">
        <f>(C502-C501)/C501</f>
        <v/>
      </c>
      <c r="F502" s="28">
        <f>(D502-D501)/D501</f>
        <v/>
      </c>
      <c r="G502" s="29">
        <f>E502-$H$27</f>
        <v/>
      </c>
      <c r="H502" s="29">
        <f>F502-$H$28</f>
        <v/>
      </c>
    </row>
    <row r="503" ht="15" customHeight="1">
      <c r="B503" s="24" t="n">
        <v>44897</v>
      </c>
      <c r="C503" s="25" t="n">
        <v>1322.31</v>
      </c>
      <c r="D503" s="25" t="n">
        <v>20648.37</v>
      </c>
      <c r="E503" s="30">
        <f>(C503-C502)/C502</f>
        <v/>
      </c>
      <c r="F503" s="30">
        <f>(D503-D502)/D502</f>
        <v/>
      </c>
      <c r="G503" s="29">
        <f>E503-$H$27</f>
        <v/>
      </c>
      <c r="H503" s="29">
        <f>F503-$H$28</f>
        <v/>
      </c>
    </row>
    <row r="504" ht="15" customHeight="1">
      <c r="B504" s="26" t="n">
        <v>44900</v>
      </c>
      <c r="C504" s="27" t="n">
        <v>1321.76</v>
      </c>
      <c r="D504" s="27" t="n">
        <v>20941.9</v>
      </c>
      <c r="E504" s="28">
        <f>(C504-C503)/C503</f>
        <v/>
      </c>
      <c r="F504" s="28">
        <f>(D504-D503)/D503</f>
        <v/>
      </c>
      <c r="G504" s="29">
        <f>E504-$H$27</f>
        <v/>
      </c>
      <c r="H504" s="29">
        <f>F504-$H$28</f>
        <v/>
      </c>
    </row>
    <row r="505" ht="15" customHeight="1">
      <c r="B505" s="24" t="n">
        <v>44901</v>
      </c>
      <c r="C505" s="25" t="n">
        <v>1318.23</v>
      </c>
      <c r="D505" s="25" t="n">
        <v>20844.82</v>
      </c>
      <c r="E505" s="30">
        <f>(C505-C504)/C504</f>
        <v/>
      </c>
      <c r="F505" s="30">
        <f>(D505-D504)/D504</f>
        <v/>
      </c>
      <c r="G505" s="29">
        <f>E505-$H$27</f>
        <v/>
      </c>
      <c r="H505" s="29">
        <f>F505-$H$28</f>
        <v/>
      </c>
    </row>
    <row r="506" ht="15" customHeight="1">
      <c r="B506" s="26" t="n">
        <v>44902</v>
      </c>
      <c r="C506" s="27" t="n">
        <v>1309.45</v>
      </c>
      <c r="D506" s="27" t="n">
        <v>20763.9</v>
      </c>
      <c r="E506" s="28">
        <f>(C506-C505)/C505</f>
        <v/>
      </c>
      <c r="F506" s="28">
        <f>(D506-D505)/D505</f>
        <v/>
      </c>
      <c r="G506" s="29">
        <f>E506-$H$27</f>
        <v/>
      </c>
      <c r="H506" s="29">
        <f>F506-$H$28</f>
        <v/>
      </c>
    </row>
    <row r="507" ht="15" customHeight="1">
      <c r="B507" s="24" t="n">
        <v>44903</v>
      </c>
      <c r="C507" s="25" t="n">
        <v>1330.57</v>
      </c>
      <c r="D507" s="25" t="n">
        <v>20756.95</v>
      </c>
      <c r="E507" s="30">
        <f>(C507-C506)/C506</f>
        <v/>
      </c>
      <c r="F507" s="30">
        <f>(D507-D506)/D506</f>
        <v/>
      </c>
      <c r="G507" s="29">
        <f>E507-$H$27</f>
        <v/>
      </c>
      <c r="H507" s="29">
        <f>F507-$H$28</f>
        <v/>
      </c>
    </row>
    <row r="508" ht="15" customHeight="1">
      <c r="B508" s="26" t="n">
        <v>44904</v>
      </c>
      <c r="C508" s="27" t="n">
        <v>1352.96</v>
      </c>
      <c r="D508" s="27" t="n">
        <v>20786.39</v>
      </c>
      <c r="E508" s="28">
        <f>(C508-C507)/C507</f>
        <v/>
      </c>
      <c r="F508" s="28">
        <f>(D508-D507)/D507</f>
        <v/>
      </c>
      <c r="G508" s="29">
        <f>E508-$H$27</f>
        <v/>
      </c>
      <c r="H508" s="29">
        <f>F508-$H$28</f>
        <v/>
      </c>
    </row>
    <row r="509" ht="15" customHeight="1">
      <c r="B509" s="24" t="n">
        <v>44907</v>
      </c>
      <c r="C509" s="25" t="n">
        <v>1325.64</v>
      </c>
      <c r="D509" s="25" t="n">
        <v>20611.44</v>
      </c>
      <c r="E509" s="30">
        <f>(C509-C508)/C508</f>
        <v/>
      </c>
      <c r="F509" s="30">
        <f>(D509-D508)/D508</f>
        <v/>
      </c>
      <c r="G509" s="29">
        <f>E509-$H$27</f>
        <v/>
      </c>
      <c r="H509" s="29">
        <f>F509-$H$28</f>
        <v/>
      </c>
    </row>
    <row r="510" ht="15" customHeight="1">
      <c r="B510" s="26" t="n">
        <v>44908</v>
      </c>
      <c r="C510" s="27" t="n">
        <v>1323.35</v>
      </c>
      <c r="D510" s="27" t="n">
        <v>20611.43</v>
      </c>
      <c r="E510" s="28">
        <f>(C510-C509)/C509</f>
        <v/>
      </c>
      <c r="F510" s="28">
        <f>(D510-D509)/D509</f>
        <v/>
      </c>
      <c r="G510" s="29">
        <f>E510-$H$27</f>
        <v/>
      </c>
      <c r="H510" s="29">
        <f>F510-$H$28</f>
        <v/>
      </c>
    </row>
    <row r="511" ht="15" customHeight="1">
      <c r="B511" s="24" t="n">
        <v>44909</v>
      </c>
      <c r="C511" s="25" t="n">
        <v>1338.78</v>
      </c>
      <c r="D511" s="25" t="n">
        <v>20325.88</v>
      </c>
      <c r="E511" s="30">
        <f>(C511-C510)/C510</f>
        <v/>
      </c>
      <c r="F511" s="30">
        <f>(D511-D510)/D510</f>
        <v/>
      </c>
      <c r="G511" s="29">
        <f>E511-$H$27</f>
        <v/>
      </c>
      <c r="H511" s="29">
        <f>F511-$H$28</f>
        <v/>
      </c>
    </row>
    <row r="512" ht="15" customHeight="1">
      <c r="B512" s="26" t="n">
        <v>44910</v>
      </c>
      <c r="C512" s="27" t="n">
        <v>1323.23</v>
      </c>
      <c r="D512" s="27" t="n">
        <v>20699.31</v>
      </c>
      <c r="E512" s="28">
        <f>(C512-C511)/C511</f>
        <v/>
      </c>
      <c r="F512" s="28">
        <f>(D512-D511)/D511</f>
        <v/>
      </c>
      <c r="G512" s="29">
        <f>E512-$H$27</f>
        <v/>
      </c>
      <c r="H512" s="29">
        <f>F512-$H$28</f>
        <v/>
      </c>
    </row>
    <row r="513" ht="15" customHeight="1">
      <c r="B513" s="24" t="n">
        <v>44911</v>
      </c>
      <c r="C513" s="25" t="n">
        <v>1334.91</v>
      </c>
      <c r="D513" s="25" t="n">
        <v>20723.56</v>
      </c>
      <c r="E513" s="30">
        <f>(C513-C512)/C512</f>
        <v/>
      </c>
      <c r="F513" s="30">
        <f>(D513-D512)/D512</f>
        <v/>
      </c>
      <c r="G513" s="29">
        <f>E513-$H$27</f>
        <v/>
      </c>
      <c r="H513" s="29">
        <f>F513-$H$28</f>
        <v/>
      </c>
    </row>
    <row r="514" ht="15" customHeight="1">
      <c r="B514" s="26" t="n">
        <v>44914</v>
      </c>
      <c r="C514" s="27" t="n">
        <v>1335.9</v>
      </c>
      <c r="D514" s="27" t="n">
        <v>21028.03</v>
      </c>
      <c r="E514" s="28">
        <f>(C514-C513)/C513</f>
        <v/>
      </c>
      <c r="F514" s="28">
        <f>(D514-D513)/D513</f>
        <v/>
      </c>
      <c r="G514" s="29">
        <f>E514-$H$27</f>
        <v/>
      </c>
      <c r="H514" s="29">
        <f>F514-$H$28</f>
        <v/>
      </c>
    </row>
    <row r="515" ht="15" customHeight="1">
      <c r="B515" s="24" t="n">
        <v>44915</v>
      </c>
      <c r="C515" s="25" t="n">
        <v>1350.43</v>
      </c>
      <c r="D515" s="25" t="n">
        <v>21081.84</v>
      </c>
      <c r="E515" s="30">
        <f>(C515-C514)/C514</f>
        <v/>
      </c>
      <c r="F515" s="30">
        <f>(D515-D514)/D514</f>
        <v/>
      </c>
      <c r="G515" s="29">
        <f>E515-$H$27</f>
        <v/>
      </c>
      <c r="H515" s="29">
        <f>F515-$H$28</f>
        <v/>
      </c>
    </row>
    <row r="516" ht="15" customHeight="1">
      <c r="B516" s="26" t="n">
        <v>44916</v>
      </c>
      <c r="C516" s="27" t="n">
        <v>1337.24</v>
      </c>
      <c r="D516" s="27" t="n">
        <v>21455.91</v>
      </c>
      <c r="E516" s="28">
        <f>(C516-C515)/C515</f>
        <v/>
      </c>
      <c r="F516" s="28">
        <f>(D516-D515)/D515</f>
        <v/>
      </c>
      <c r="G516" s="29">
        <f>E516-$H$27</f>
        <v/>
      </c>
      <c r="H516" s="29">
        <f>F516-$H$28</f>
        <v/>
      </c>
    </row>
    <row r="517" ht="15" customHeight="1">
      <c r="B517" s="24" t="n">
        <v>44917</v>
      </c>
      <c r="C517" s="25" t="n">
        <v>1352.82</v>
      </c>
      <c r="D517" s="25" t="n">
        <v>21375.93</v>
      </c>
      <c r="E517" s="30">
        <f>(C517-C516)/C516</f>
        <v/>
      </c>
      <c r="F517" s="30">
        <f>(D517-D516)/D516</f>
        <v/>
      </c>
      <c r="G517" s="29">
        <f>E517-$H$27</f>
        <v/>
      </c>
      <c r="H517" s="29">
        <f>F517-$H$28</f>
        <v/>
      </c>
    </row>
    <row r="518" ht="15" customHeight="1">
      <c r="B518" s="26" t="n">
        <v>44918</v>
      </c>
      <c r="C518" s="27" t="n">
        <v>1297.74</v>
      </c>
      <c r="D518" s="27" t="n">
        <v>21423.39</v>
      </c>
      <c r="E518" s="28">
        <f>(C518-C517)/C517</f>
        <v/>
      </c>
      <c r="F518" s="28">
        <f>(D518-D517)/D517</f>
        <v/>
      </c>
      <c r="G518" s="29">
        <f>E518-$H$27</f>
        <v/>
      </c>
      <c r="H518" s="29">
        <f>F518-$H$28</f>
        <v/>
      </c>
    </row>
    <row r="519" ht="15" customHeight="1">
      <c r="B519" s="24" t="n">
        <v>44921</v>
      </c>
      <c r="C519" s="25" t="n">
        <v>1273.85</v>
      </c>
      <c r="D519" s="25" t="n">
        <v>21360.07</v>
      </c>
      <c r="E519" s="30">
        <f>(C519-C518)/C518</f>
        <v/>
      </c>
      <c r="F519" s="30">
        <f>(D519-D518)/D518</f>
        <v/>
      </c>
      <c r="G519" s="29">
        <f>E519-$H$27</f>
        <v/>
      </c>
      <c r="H519" s="29">
        <f>F519-$H$28</f>
        <v/>
      </c>
    </row>
    <row r="520" ht="15" customHeight="1">
      <c r="B520" s="26" t="n">
        <v>44922</v>
      </c>
      <c r="C520" s="27" t="n">
        <v>1264.87</v>
      </c>
      <c r="D520" s="27" t="n">
        <v>21205.41</v>
      </c>
      <c r="E520" s="28">
        <f>(C520-C519)/C519</f>
        <v/>
      </c>
      <c r="F520" s="28">
        <f>(D520-D519)/D519</f>
        <v/>
      </c>
      <c r="G520" s="29">
        <f>E520-$H$27</f>
        <v/>
      </c>
      <c r="H520" s="29">
        <f>F520-$H$28</f>
        <v/>
      </c>
    </row>
    <row r="521" ht="15" customHeight="1">
      <c r="B521" s="24" t="n">
        <v>44923</v>
      </c>
      <c r="C521" s="25" t="n">
        <v>1307.99</v>
      </c>
      <c r="D521" s="25" t="n">
        <v>21290.64</v>
      </c>
      <c r="E521" s="30">
        <f>(C521-C520)/C520</f>
        <v/>
      </c>
      <c r="F521" s="30">
        <f>(D521-D520)/D520</f>
        <v/>
      </c>
      <c r="G521" s="29">
        <f>E521-$H$27</f>
        <v/>
      </c>
      <c r="H521" s="29">
        <f>F521-$H$28</f>
        <v/>
      </c>
    </row>
    <row r="522" ht="15" customHeight="1">
      <c r="B522" s="26" t="n">
        <v>44924</v>
      </c>
      <c r="C522" s="27" t="n">
        <v>1329.48</v>
      </c>
      <c r="D522" s="27" t="n">
        <v>21102.68</v>
      </c>
      <c r="E522" s="28">
        <f>(C522-C521)/C521</f>
        <v/>
      </c>
      <c r="F522" s="28">
        <f>(D522-D521)/D521</f>
        <v/>
      </c>
      <c r="G522" s="29">
        <f>E522-$H$27</f>
        <v/>
      </c>
      <c r="H522" s="29">
        <f>F522-$H$28</f>
        <v/>
      </c>
    </row>
    <row r="523" ht="15" customHeight="1">
      <c r="B523" s="24" t="n">
        <v>44925</v>
      </c>
      <c r="C523" s="25" t="n">
        <v>1318.64</v>
      </c>
      <c r="D523" s="25" t="n">
        <v>21199.93</v>
      </c>
      <c r="E523" s="30">
        <f>(C523-C522)/C522</f>
        <v/>
      </c>
      <c r="F523" s="30">
        <f>(D523-D522)/D522</f>
        <v/>
      </c>
      <c r="G523" s="29">
        <f>E523-$H$27</f>
        <v/>
      </c>
      <c r="H523" s="29">
        <f>F523-$H$28</f>
        <v/>
      </c>
    </row>
    <row r="524" ht="15" customHeight="1">
      <c r="B524" s="26" t="n">
        <v>44928</v>
      </c>
      <c r="C524" s="27" t="n">
        <v>1312.85</v>
      </c>
      <c r="D524" s="27" t="n">
        <v>21330.81</v>
      </c>
      <c r="E524" s="28">
        <f>(C524-C523)/C523</f>
        <v/>
      </c>
      <c r="F524" s="28">
        <f>(D524-D523)/D523</f>
        <v/>
      </c>
      <c r="G524" s="29">
        <f>E524-$H$27</f>
        <v/>
      </c>
      <c r="H524" s="29">
        <f>F524-$H$28</f>
        <v/>
      </c>
    </row>
    <row r="525" ht="15" customHeight="1">
      <c r="B525" s="24" t="n">
        <v>44929</v>
      </c>
      <c r="C525" s="25" t="n">
        <v>1306.32</v>
      </c>
      <c r="D525" s="25" t="n">
        <v>21215.02</v>
      </c>
      <c r="E525" s="30">
        <f>(C525-C524)/C524</f>
        <v/>
      </c>
      <c r="F525" s="30">
        <f>(D525-D524)/D524</f>
        <v/>
      </c>
      <c r="G525" s="29">
        <f>E525-$H$27</f>
        <v/>
      </c>
      <c r="H525" s="29">
        <f>F525-$H$28</f>
        <v/>
      </c>
    </row>
    <row r="526" ht="15" customHeight="1">
      <c r="B526" s="26" t="n">
        <v>44930</v>
      </c>
      <c r="C526" s="27" t="n">
        <v>1321.59</v>
      </c>
      <c r="D526" s="27" t="n">
        <v>20756.86</v>
      </c>
      <c r="E526" s="28">
        <f>(C526-C525)/C525</f>
        <v/>
      </c>
      <c r="F526" s="28">
        <f>(D526-D525)/D525</f>
        <v/>
      </c>
      <c r="G526" s="29">
        <f>E526-$H$27</f>
        <v/>
      </c>
      <c r="H526" s="29">
        <f>F526-$H$28</f>
        <v/>
      </c>
    </row>
    <row r="527" ht="15" customHeight="1">
      <c r="B527" s="24" t="n">
        <v>44931</v>
      </c>
      <c r="C527" s="25" t="n">
        <v>1352.43</v>
      </c>
      <c r="D527" s="25" t="n">
        <v>20942.69</v>
      </c>
      <c r="E527" s="30">
        <f>(C527-C526)/C526</f>
        <v/>
      </c>
      <c r="F527" s="30">
        <f>(D527-D526)/D526</f>
        <v/>
      </c>
      <c r="G527" s="29">
        <f>E527-$H$27</f>
        <v/>
      </c>
      <c r="H527" s="29">
        <f>F527-$H$28</f>
        <v/>
      </c>
    </row>
    <row r="528" ht="15" customHeight="1">
      <c r="B528" s="26" t="n">
        <v>44932</v>
      </c>
      <c r="C528" s="27" t="n">
        <v>1318.35</v>
      </c>
      <c r="D528" s="27" t="n">
        <v>20673.23</v>
      </c>
      <c r="E528" s="28">
        <f>(C528-C527)/C527</f>
        <v/>
      </c>
      <c r="F528" s="28">
        <f>(D528-D527)/D527</f>
        <v/>
      </c>
      <c r="G528" s="29">
        <f>E528-$H$27</f>
        <v/>
      </c>
      <c r="H528" s="29">
        <f>F528-$H$28</f>
        <v/>
      </c>
    </row>
    <row r="529" ht="15" customHeight="1">
      <c r="B529" s="24" t="n">
        <v>44935</v>
      </c>
      <c r="C529" s="25" t="n">
        <v>1341.31</v>
      </c>
      <c r="D529" s="25" t="n">
        <v>20535.8</v>
      </c>
      <c r="E529" s="30">
        <f>(C529-C528)/C528</f>
        <v/>
      </c>
      <c r="F529" s="30">
        <f>(D529-D528)/D528</f>
        <v/>
      </c>
      <c r="G529" s="29">
        <f>E529-$H$27</f>
        <v/>
      </c>
      <c r="H529" s="29">
        <f>F529-$H$28</f>
        <v/>
      </c>
    </row>
    <row r="530" ht="15" customHeight="1">
      <c r="B530" s="26" t="n">
        <v>44936</v>
      </c>
      <c r="C530" s="27" t="n">
        <v>1324.66</v>
      </c>
      <c r="D530" s="27" t="n">
        <v>20601.73</v>
      </c>
      <c r="E530" s="28">
        <f>(C530-C529)/C529</f>
        <v/>
      </c>
      <c r="F530" s="28">
        <f>(D530-D529)/D529</f>
        <v/>
      </c>
      <c r="G530" s="29">
        <f>E530-$H$27</f>
        <v/>
      </c>
      <c r="H530" s="29">
        <f>F530-$H$28</f>
        <v/>
      </c>
    </row>
    <row r="531" ht="15" customHeight="1">
      <c r="B531" s="24" t="n">
        <v>44937</v>
      </c>
      <c r="C531" s="25" t="n">
        <v>1311.73</v>
      </c>
      <c r="D531" s="25" t="n">
        <v>20631.11</v>
      </c>
      <c r="E531" s="30">
        <f>(C531-C530)/C530</f>
        <v/>
      </c>
      <c r="F531" s="30">
        <f>(D531-D530)/D530</f>
        <v/>
      </c>
      <c r="G531" s="29">
        <f>E531-$H$27</f>
        <v/>
      </c>
      <c r="H531" s="29">
        <f>F531-$H$28</f>
        <v/>
      </c>
    </row>
    <row r="532" ht="15" customHeight="1">
      <c r="B532" s="26" t="n">
        <v>44938</v>
      </c>
      <c r="C532" s="27" t="n">
        <v>1302.71</v>
      </c>
      <c r="D532" s="27" t="n">
        <v>20666.17</v>
      </c>
      <c r="E532" s="28">
        <f>(C532-C531)/C531</f>
        <v/>
      </c>
      <c r="F532" s="28">
        <f>(D532-D531)/D531</f>
        <v/>
      </c>
      <c r="G532" s="29">
        <f>E532-$H$27</f>
        <v/>
      </c>
      <c r="H532" s="29">
        <f>F532-$H$28</f>
        <v/>
      </c>
    </row>
    <row r="533" ht="15" customHeight="1">
      <c r="B533" s="24" t="n">
        <v>44939</v>
      </c>
      <c r="C533" s="25" t="n">
        <v>1291.57</v>
      </c>
      <c r="D533" s="25" t="n">
        <v>20614.3</v>
      </c>
      <c r="E533" s="30">
        <f>(C533-C532)/C532</f>
        <v/>
      </c>
      <c r="F533" s="30">
        <f>(D533-D532)/D532</f>
        <v/>
      </c>
      <c r="G533" s="29">
        <f>E533-$H$27</f>
        <v/>
      </c>
      <c r="H533" s="29">
        <f>F533-$H$28</f>
        <v/>
      </c>
    </row>
    <row r="534" ht="15" customHeight="1">
      <c r="B534" s="26" t="n">
        <v>44942</v>
      </c>
      <c r="C534" s="27" t="n">
        <v>1293.01</v>
      </c>
      <c r="D534" s="27" t="n">
        <v>20458.37</v>
      </c>
      <c r="E534" s="28">
        <f>(C534-C533)/C533</f>
        <v/>
      </c>
      <c r="F534" s="28">
        <f>(D534-D533)/D533</f>
        <v/>
      </c>
      <c r="G534" s="29">
        <f>E534-$H$27</f>
        <v/>
      </c>
      <c r="H534" s="29">
        <f>F534-$H$28</f>
        <v/>
      </c>
    </row>
    <row r="535" ht="15" customHeight="1">
      <c r="B535" s="24" t="n">
        <v>44943</v>
      </c>
      <c r="C535" s="25" t="n">
        <v>1302.85</v>
      </c>
      <c r="D535" s="25" t="n">
        <v>20630.37</v>
      </c>
      <c r="E535" s="30">
        <f>(C535-C534)/C534</f>
        <v/>
      </c>
      <c r="F535" s="30">
        <f>(D535-D534)/D534</f>
        <v/>
      </c>
      <c r="G535" s="29">
        <f>E535-$H$27</f>
        <v/>
      </c>
      <c r="H535" s="29">
        <f>F535-$H$28</f>
        <v/>
      </c>
    </row>
    <row r="536" ht="15" customHeight="1">
      <c r="B536" s="26" t="n">
        <v>44944</v>
      </c>
      <c r="C536" s="27" t="n">
        <v>1272.17</v>
      </c>
      <c r="D536" s="27" t="n">
        <v>20999.09</v>
      </c>
      <c r="E536" s="28">
        <f>(C536-C535)/C535</f>
        <v/>
      </c>
      <c r="F536" s="28">
        <f>(D536-D535)/D535</f>
        <v/>
      </c>
      <c r="G536" s="29">
        <f>E536-$H$27</f>
        <v/>
      </c>
      <c r="H536" s="29">
        <f>F536-$H$28</f>
        <v/>
      </c>
    </row>
    <row r="537" ht="15" customHeight="1">
      <c r="B537" s="24" t="n">
        <v>44945</v>
      </c>
      <c r="C537" s="25" t="n">
        <v>1279.16</v>
      </c>
      <c r="D537" s="25" t="n">
        <v>21280.34</v>
      </c>
      <c r="E537" s="30">
        <f>(C537-C536)/C536</f>
        <v/>
      </c>
      <c r="F537" s="30">
        <f>(D537-D536)/D536</f>
        <v/>
      </c>
      <c r="G537" s="29">
        <f>E537-$H$27</f>
        <v/>
      </c>
      <c r="H537" s="29">
        <f>F537-$H$28</f>
        <v/>
      </c>
    </row>
    <row r="538" ht="15" customHeight="1">
      <c r="B538" s="26" t="n">
        <v>44946</v>
      </c>
      <c r="C538" s="27" t="n">
        <v>1265.64</v>
      </c>
      <c r="D538" s="27" t="n">
        <v>21096.05</v>
      </c>
      <c r="E538" s="28">
        <f>(C538-C537)/C537</f>
        <v/>
      </c>
      <c r="F538" s="28">
        <f>(D538-D537)/D537</f>
        <v/>
      </c>
      <c r="G538" s="29">
        <f>E538-$H$27</f>
        <v/>
      </c>
      <c r="H538" s="29">
        <f>F538-$H$28</f>
        <v/>
      </c>
    </row>
    <row r="539" ht="15" customHeight="1">
      <c r="B539" s="24" t="n">
        <v>44949</v>
      </c>
      <c r="C539" s="25" t="n">
        <v>1243.7</v>
      </c>
      <c r="D539" s="25" t="n">
        <v>20982.34</v>
      </c>
      <c r="E539" s="30">
        <f>(C539-C538)/C538</f>
        <v/>
      </c>
      <c r="F539" s="30">
        <f>(D539-D538)/D538</f>
        <v/>
      </c>
      <c r="G539" s="29">
        <f>E539-$H$27</f>
        <v/>
      </c>
      <c r="H539" s="29">
        <f>F539-$H$28</f>
        <v/>
      </c>
    </row>
    <row r="540" ht="15" customHeight="1">
      <c r="B540" s="26" t="n">
        <v>44950</v>
      </c>
      <c r="C540" s="27" t="n">
        <v>1264.49</v>
      </c>
      <c r="D540" s="27" t="n">
        <v>21257.49</v>
      </c>
      <c r="E540" s="28">
        <f>(C540-C539)/C539</f>
        <v/>
      </c>
      <c r="F540" s="28">
        <f>(D540-D539)/D539</f>
        <v/>
      </c>
      <c r="G540" s="29">
        <f>E540-$H$27</f>
        <v/>
      </c>
      <c r="H540" s="29">
        <f>F540-$H$28</f>
        <v/>
      </c>
    </row>
    <row r="541" ht="15" customHeight="1">
      <c r="B541" s="24" t="n">
        <v>44951</v>
      </c>
      <c r="C541" s="25" t="n">
        <v>1294.3</v>
      </c>
      <c r="D541" s="25" t="n">
        <v>21059.74</v>
      </c>
      <c r="E541" s="30">
        <f>(C541-C540)/C540</f>
        <v/>
      </c>
      <c r="F541" s="30">
        <f>(D541-D540)/D540</f>
        <v/>
      </c>
      <c r="G541" s="29">
        <f>E541-$H$27</f>
        <v/>
      </c>
      <c r="H541" s="29">
        <f>F541-$H$28</f>
        <v/>
      </c>
    </row>
    <row r="542" ht="15" customHeight="1">
      <c r="B542" s="26" t="n">
        <v>44952</v>
      </c>
      <c r="C542" s="27" t="n">
        <v>1278.35</v>
      </c>
      <c r="D542" s="27" t="n">
        <v>21203.76</v>
      </c>
      <c r="E542" s="28">
        <f>(C542-C541)/C541</f>
        <v/>
      </c>
      <c r="F542" s="28">
        <f>(D542-D541)/D541</f>
        <v/>
      </c>
      <c r="G542" s="29">
        <f>E542-$H$27</f>
        <v/>
      </c>
      <c r="H542" s="29">
        <f>F542-$H$28</f>
        <v/>
      </c>
    </row>
    <row r="543" ht="15" customHeight="1">
      <c r="B543" s="24" t="n">
        <v>44953</v>
      </c>
      <c r="C543" s="25" t="n">
        <v>1283.89</v>
      </c>
      <c r="D543" s="25" t="n">
        <v>20988.78</v>
      </c>
      <c r="E543" s="30">
        <f>(C543-C542)/C542</f>
        <v/>
      </c>
      <c r="F543" s="30">
        <f>(D543-D542)/D542</f>
        <v/>
      </c>
      <c r="G543" s="29">
        <f>E543-$H$27</f>
        <v/>
      </c>
      <c r="H543" s="29">
        <f>F543-$H$28</f>
        <v/>
      </c>
    </row>
    <row r="544" ht="15" customHeight="1">
      <c r="B544" s="26" t="n">
        <v>44956</v>
      </c>
      <c r="C544" s="27" t="n">
        <v>1336.58</v>
      </c>
      <c r="D544" s="27" t="n">
        <v>21372.07</v>
      </c>
      <c r="E544" s="28">
        <f>(C544-C543)/C543</f>
        <v/>
      </c>
      <c r="F544" s="28">
        <f>(D544-D543)/D543</f>
        <v/>
      </c>
      <c r="G544" s="29">
        <f>E544-$H$27</f>
        <v/>
      </c>
      <c r="H544" s="29">
        <f>F544-$H$28</f>
        <v/>
      </c>
    </row>
    <row r="545" ht="15" customHeight="1">
      <c r="B545" s="24" t="n">
        <v>44957</v>
      </c>
      <c r="C545" s="25" t="n">
        <v>1388.57</v>
      </c>
      <c r="D545" s="25" t="n">
        <v>21356.12</v>
      </c>
      <c r="E545" s="30">
        <f>(C545-C544)/C544</f>
        <v/>
      </c>
      <c r="F545" s="30">
        <f>(D545-D544)/D544</f>
        <v/>
      </c>
      <c r="G545" s="29">
        <f>E545-$H$27</f>
        <v/>
      </c>
      <c r="H545" s="29">
        <f>F545-$H$28</f>
        <v/>
      </c>
    </row>
    <row r="546" ht="15" customHeight="1">
      <c r="B546" s="26" t="n">
        <v>44958</v>
      </c>
      <c r="C546" s="27" t="n">
        <v>1378.43</v>
      </c>
      <c r="D546" s="27" t="n">
        <v>21266.85</v>
      </c>
      <c r="E546" s="28">
        <f>(C546-C545)/C545</f>
        <v/>
      </c>
      <c r="F546" s="28">
        <f>(D546-D545)/D545</f>
        <v/>
      </c>
      <c r="G546" s="29">
        <f>E546-$H$27</f>
        <v/>
      </c>
      <c r="H546" s="29">
        <f>F546-$H$28</f>
        <v/>
      </c>
    </row>
    <row r="547" ht="15" customHeight="1">
      <c r="B547" s="24" t="n">
        <v>44959</v>
      </c>
      <c r="C547" s="25" t="n">
        <v>1345.24</v>
      </c>
      <c r="D547" s="25" t="n">
        <v>21554.25</v>
      </c>
      <c r="E547" s="30">
        <f>(C547-C546)/C546</f>
        <v/>
      </c>
      <c r="F547" s="30">
        <f>(D547-D546)/D546</f>
        <v/>
      </c>
      <c r="G547" s="29">
        <f>E547-$H$27</f>
        <v/>
      </c>
      <c r="H547" s="29">
        <f>F547-$H$28</f>
        <v/>
      </c>
    </row>
    <row r="548" ht="15" customHeight="1">
      <c r="B548" s="26" t="n">
        <v>44960</v>
      </c>
      <c r="C548" s="27" t="n">
        <v>1335.49</v>
      </c>
      <c r="D548" s="27" t="n">
        <v>21281.89</v>
      </c>
      <c r="E548" s="28">
        <f>(C548-C547)/C547</f>
        <v/>
      </c>
      <c r="F548" s="28">
        <f>(D548-D547)/D547</f>
        <v/>
      </c>
      <c r="G548" s="29">
        <f>E548-$H$27</f>
        <v/>
      </c>
      <c r="H548" s="29">
        <f>F548-$H$28</f>
        <v/>
      </c>
    </row>
    <row r="549" ht="15" customHeight="1">
      <c r="B549" s="24" t="n">
        <v>44963</v>
      </c>
      <c r="C549" s="25" t="n">
        <v>1379.84</v>
      </c>
      <c r="D549" s="25" t="n">
        <v>21374.13</v>
      </c>
      <c r="E549" s="30">
        <f>(C549-C548)/C548</f>
        <v/>
      </c>
      <c r="F549" s="30">
        <f>(D549-D548)/D548</f>
        <v/>
      </c>
      <c r="G549" s="29">
        <f>E549-$H$27</f>
        <v/>
      </c>
      <c r="H549" s="29">
        <f>F549-$H$28</f>
        <v/>
      </c>
    </row>
    <row r="550" ht="15" customHeight="1">
      <c r="B550" s="26" t="n">
        <v>44964</v>
      </c>
      <c r="C550" s="27" t="n">
        <v>1368.39</v>
      </c>
      <c r="D550" s="27" t="n">
        <v>21191.13</v>
      </c>
      <c r="E550" s="28">
        <f>(C550-C549)/C549</f>
        <v/>
      </c>
      <c r="F550" s="28">
        <f>(D550-D549)/D549</f>
        <v/>
      </c>
      <c r="G550" s="29">
        <f>E550-$H$27</f>
        <v/>
      </c>
      <c r="H550" s="29">
        <f>F550-$H$28</f>
        <v/>
      </c>
    </row>
    <row r="551" ht="15" customHeight="1">
      <c r="B551" s="24" t="n">
        <v>44965</v>
      </c>
      <c r="C551" s="25" t="n">
        <v>1391.4</v>
      </c>
      <c r="D551" s="25" t="n">
        <v>21290.21</v>
      </c>
      <c r="E551" s="30">
        <f>(C551-C550)/C550</f>
        <v/>
      </c>
      <c r="F551" s="30">
        <f>(D551-D550)/D550</f>
        <v/>
      </c>
      <c r="G551" s="29">
        <f>E551-$H$27</f>
        <v/>
      </c>
      <c r="H551" s="29">
        <f>F551-$H$28</f>
        <v/>
      </c>
    </row>
    <row r="552" ht="15" customHeight="1">
      <c r="B552" s="26" t="n">
        <v>44966</v>
      </c>
      <c r="C552" s="27" t="n">
        <v>1392.03</v>
      </c>
      <c r="D552" s="27" t="n">
        <v>21469.74</v>
      </c>
      <c r="E552" s="28">
        <f>(C552-C551)/C551</f>
        <v/>
      </c>
      <c r="F552" s="28">
        <f>(D552-D551)/D551</f>
        <v/>
      </c>
      <c r="G552" s="29">
        <f>E552-$H$27</f>
        <v/>
      </c>
      <c r="H552" s="29">
        <f>F552-$H$28</f>
        <v/>
      </c>
    </row>
    <row r="553" ht="15" customHeight="1">
      <c r="B553" s="24" t="n">
        <v>44967</v>
      </c>
      <c r="C553" s="25" t="n">
        <v>1371.85</v>
      </c>
      <c r="D553" s="25" t="n">
        <v>21103.38</v>
      </c>
      <c r="E553" s="30">
        <f>(C553-C552)/C552</f>
        <v/>
      </c>
      <c r="F553" s="30">
        <f>(D553-D552)/D552</f>
        <v/>
      </c>
      <c r="G553" s="29">
        <f>E553-$H$27</f>
        <v/>
      </c>
      <c r="H553" s="29">
        <f>F553-$H$28</f>
        <v/>
      </c>
    </row>
    <row r="554" ht="15" customHeight="1">
      <c r="B554" s="26" t="n">
        <v>44970</v>
      </c>
      <c r="C554" s="27" t="n">
        <v>1408.05</v>
      </c>
      <c r="D554" s="27" t="n">
        <v>20995.65</v>
      </c>
      <c r="E554" s="28">
        <f>(C554-C553)/C553</f>
        <v/>
      </c>
      <c r="F554" s="28">
        <f>(D554-D553)/D553</f>
        <v/>
      </c>
      <c r="G554" s="29">
        <f>E554-$H$27</f>
        <v/>
      </c>
      <c r="H554" s="29">
        <f>F554-$H$28</f>
        <v/>
      </c>
    </row>
    <row r="555" ht="15" customHeight="1">
      <c r="B555" s="24" t="n">
        <v>44971</v>
      </c>
      <c r="C555" s="25" t="n">
        <v>1428.95</v>
      </c>
      <c r="D555" s="25" t="n">
        <v>20810.94</v>
      </c>
      <c r="E555" s="30">
        <f>(C555-C554)/C554</f>
        <v/>
      </c>
      <c r="F555" s="30">
        <f>(D555-D554)/D554</f>
        <v/>
      </c>
      <c r="G555" s="29">
        <f>E555-$H$27</f>
        <v/>
      </c>
      <c r="H555" s="29">
        <f>F555-$H$28</f>
        <v/>
      </c>
    </row>
    <row r="556" ht="15" customHeight="1">
      <c r="B556" s="26" t="n">
        <v>44972</v>
      </c>
      <c r="C556" s="27" t="n">
        <v>1425.85</v>
      </c>
      <c r="D556" s="27" t="n">
        <v>20966.03</v>
      </c>
      <c r="E556" s="28">
        <f>(C556-C555)/C555</f>
        <v/>
      </c>
      <c r="F556" s="28">
        <f>(D556-D555)/D555</f>
        <v/>
      </c>
      <c r="G556" s="29">
        <f>E556-$H$27</f>
        <v/>
      </c>
      <c r="H556" s="29">
        <f>F556-$H$28</f>
        <v/>
      </c>
    </row>
    <row r="557" ht="15" customHeight="1">
      <c r="B557" s="24" t="n">
        <v>44973</v>
      </c>
      <c r="C557" s="25" t="n">
        <v>1406.81</v>
      </c>
      <c r="D557" s="25" t="n">
        <v>20862.11</v>
      </c>
      <c r="E557" s="30">
        <f>(C557-C556)/C556</f>
        <v/>
      </c>
      <c r="F557" s="30">
        <f>(D557-D556)/D556</f>
        <v/>
      </c>
      <c r="G557" s="29">
        <f>E557-$H$27</f>
        <v/>
      </c>
      <c r="H557" s="29">
        <f>F557-$H$28</f>
        <v/>
      </c>
    </row>
    <row r="558" ht="15" customHeight="1">
      <c r="B558" s="26" t="n">
        <v>44974</v>
      </c>
      <c r="C558" s="27" t="n">
        <v>1406.82</v>
      </c>
      <c r="D558" s="27" t="n">
        <v>20551.56</v>
      </c>
      <c r="E558" s="28">
        <f>(C558-C557)/C557</f>
        <v/>
      </c>
      <c r="F558" s="28">
        <f>(D558-D557)/D557</f>
        <v/>
      </c>
      <c r="G558" s="29">
        <f>E558-$H$27</f>
        <v/>
      </c>
      <c r="H558" s="29">
        <f>F558-$H$28</f>
        <v/>
      </c>
    </row>
    <row r="559" ht="15" customHeight="1">
      <c r="B559" s="24" t="n">
        <v>44977</v>
      </c>
      <c r="C559" s="25" t="n">
        <v>1397.99</v>
      </c>
      <c r="D559" s="25" t="n">
        <v>20405.83</v>
      </c>
      <c r="E559" s="30">
        <f>(C559-C558)/C558</f>
        <v/>
      </c>
      <c r="F559" s="30">
        <f>(D559-D558)/D558</f>
        <v/>
      </c>
      <c r="G559" s="29">
        <f>E559-$H$27</f>
        <v/>
      </c>
      <c r="H559" s="29">
        <f>F559-$H$28</f>
        <v/>
      </c>
    </row>
    <row r="560" ht="15" customHeight="1">
      <c r="B560" s="26" t="n">
        <v>44978</v>
      </c>
      <c r="C560" s="27" t="n">
        <v>1383.23</v>
      </c>
      <c r="D560" s="27" t="n">
        <v>20480.15</v>
      </c>
      <c r="E560" s="28">
        <f>(C560-C559)/C559</f>
        <v/>
      </c>
      <c r="F560" s="28">
        <f>(D560-D559)/D559</f>
        <v/>
      </c>
      <c r="G560" s="29">
        <f>E560-$H$27</f>
        <v/>
      </c>
      <c r="H560" s="29">
        <f>F560-$H$28</f>
        <v/>
      </c>
    </row>
    <row r="561" ht="15" customHeight="1">
      <c r="B561" s="24" t="n">
        <v>44979</v>
      </c>
      <c r="C561" s="25" t="n">
        <v>1370.06</v>
      </c>
      <c r="D561" s="25" t="n">
        <v>20608.68</v>
      </c>
      <c r="E561" s="30">
        <f>(C561-C560)/C560</f>
        <v/>
      </c>
      <c r="F561" s="30">
        <f>(D561-D560)/D560</f>
        <v/>
      </c>
      <c r="G561" s="29">
        <f>E561-$H$27</f>
        <v/>
      </c>
      <c r="H561" s="29">
        <f>F561-$H$28</f>
        <v/>
      </c>
    </row>
    <row r="562" ht="15" customHeight="1">
      <c r="B562" s="26" t="n">
        <v>44980</v>
      </c>
      <c r="C562" s="27" t="n">
        <v>1394.6</v>
      </c>
      <c r="D562" s="27" t="n">
        <v>20713.32</v>
      </c>
      <c r="E562" s="28">
        <f>(C562-C561)/C561</f>
        <v/>
      </c>
      <c r="F562" s="28">
        <f>(D562-D561)/D561</f>
        <v/>
      </c>
      <c r="G562" s="29">
        <f>E562-$H$27</f>
        <v/>
      </c>
      <c r="H562" s="29">
        <f>F562-$H$28</f>
        <v/>
      </c>
    </row>
    <row r="563" ht="15" customHeight="1">
      <c r="B563" s="24" t="n">
        <v>44981</v>
      </c>
      <c r="C563" s="25" t="n">
        <v>1386.83</v>
      </c>
      <c r="D563" s="25" t="n">
        <v>20714.52</v>
      </c>
      <c r="E563" s="30">
        <f>(C563-C562)/C562</f>
        <v/>
      </c>
      <c r="F563" s="30">
        <f>(D563-D562)/D562</f>
        <v/>
      </c>
      <c r="G563" s="29">
        <f>E563-$H$27</f>
        <v/>
      </c>
      <c r="H563" s="29">
        <f>F563-$H$28</f>
        <v/>
      </c>
    </row>
    <row r="564" ht="15" customHeight="1">
      <c r="B564" s="26" t="n">
        <v>44984</v>
      </c>
      <c r="C564" s="27" t="n">
        <v>1389.12</v>
      </c>
      <c r="D564" s="27" t="n">
        <v>21055.98</v>
      </c>
      <c r="E564" s="28">
        <f>(C564-C563)/C563</f>
        <v/>
      </c>
      <c r="F564" s="28">
        <f>(D564-D563)/D563</f>
        <v/>
      </c>
      <c r="G564" s="29">
        <f>E564-$H$27</f>
        <v/>
      </c>
      <c r="H564" s="29">
        <f>F564-$H$28</f>
        <v/>
      </c>
    </row>
    <row r="565" ht="15" customHeight="1">
      <c r="B565" s="24" t="n">
        <v>44985</v>
      </c>
      <c r="C565" s="25" t="n">
        <v>1396.38</v>
      </c>
      <c r="D565" s="25" t="n">
        <v>21178.82</v>
      </c>
      <c r="E565" s="30">
        <f>(C565-C564)/C564</f>
        <v/>
      </c>
      <c r="F565" s="30">
        <f>(D565-D564)/D564</f>
        <v/>
      </c>
      <c r="G565" s="29">
        <f>E565-$H$27</f>
        <v/>
      </c>
      <c r="H565" s="29">
        <f>F565-$H$28</f>
        <v/>
      </c>
    </row>
    <row r="566" ht="15" customHeight="1">
      <c r="B566" s="26" t="n">
        <v>44986</v>
      </c>
      <c r="C566" s="27" t="n">
        <v>1413</v>
      </c>
      <c r="D566" s="27" t="n">
        <v>21468.06</v>
      </c>
      <c r="E566" s="28">
        <f>(C566-C565)/C565</f>
        <v/>
      </c>
      <c r="F566" s="28">
        <f>(D566-D565)/D565</f>
        <v/>
      </c>
      <c r="G566" s="29">
        <f>E566-$H$27</f>
        <v/>
      </c>
      <c r="H566" s="29">
        <f>F566-$H$28</f>
        <v/>
      </c>
    </row>
    <row r="567" ht="15" customHeight="1">
      <c r="B567" s="24" t="n">
        <v>44987</v>
      </c>
      <c r="C567" s="25" t="n">
        <v>1406.31</v>
      </c>
      <c r="D567" s="25" t="n">
        <v>21390.32</v>
      </c>
      <c r="E567" s="30">
        <f>(C567-C566)/C566</f>
        <v/>
      </c>
      <c r="F567" s="30">
        <f>(D567-D566)/D566</f>
        <v/>
      </c>
      <c r="G567" s="29">
        <f>E567-$H$27</f>
        <v/>
      </c>
      <c r="H567" s="29">
        <f>F567-$H$28</f>
        <v/>
      </c>
    </row>
    <row r="568" ht="15" customHeight="1">
      <c r="B568" s="26" t="n">
        <v>44988</v>
      </c>
      <c r="C568" s="27" t="n">
        <v>1393.35</v>
      </c>
      <c r="D568" s="27" t="n">
        <v>21679.98</v>
      </c>
      <c r="E568" s="28">
        <f>(C568-C567)/C567</f>
        <v/>
      </c>
      <c r="F568" s="28">
        <f>(D568-D567)/D567</f>
        <v/>
      </c>
      <c r="G568" s="29">
        <f>E568-$H$27</f>
        <v/>
      </c>
      <c r="H568" s="29">
        <f>F568-$H$28</f>
        <v/>
      </c>
    </row>
    <row r="569" ht="15" customHeight="1">
      <c r="B569" s="24" t="n">
        <v>44991</v>
      </c>
      <c r="C569" s="25" t="n">
        <v>1396.42</v>
      </c>
      <c r="D569" s="25" t="n">
        <v>21653.46</v>
      </c>
      <c r="E569" s="30">
        <f>(C569-C568)/C568</f>
        <v/>
      </c>
      <c r="F569" s="30">
        <f>(D569-D568)/D568</f>
        <v/>
      </c>
      <c r="G569" s="29">
        <f>E569-$H$27</f>
        <v/>
      </c>
      <c r="H569" s="29">
        <f>F569-$H$28</f>
        <v/>
      </c>
    </row>
    <row r="570" ht="15" customHeight="1">
      <c r="B570" s="26" t="n">
        <v>44992</v>
      </c>
      <c r="C570" s="27" t="n">
        <v>1413.51</v>
      </c>
      <c r="D570" s="27" t="n">
        <v>21690.19</v>
      </c>
      <c r="E570" s="28">
        <f>(C570-C569)/C569</f>
        <v/>
      </c>
      <c r="F570" s="28">
        <f>(D570-D569)/D569</f>
        <v/>
      </c>
      <c r="G570" s="29">
        <f>E570-$H$27</f>
        <v/>
      </c>
      <c r="H570" s="29">
        <f>F570-$H$28</f>
        <v/>
      </c>
    </row>
    <row r="571" ht="15" customHeight="1">
      <c r="B571" s="24" t="n">
        <v>44993</v>
      </c>
      <c r="C571" s="25" t="n">
        <v>1394.82</v>
      </c>
      <c r="D571" s="25" t="n">
        <v>21602.41</v>
      </c>
      <c r="E571" s="30">
        <f>(C571-C570)/C570</f>
        <v/>
      </c>
      <c r="F571" s="30">
        <f>(D571-D570)/D570</f>
        <v/>
      </c>
      <c r="G571" s="29">
        <f>E571-$H$27</f>
        <v/>
      </c>
      <c r="H571" s="29">
        <f>F571-$H$28</f>
        <v/>
      </c>
    </row>
    <row r="572" ht="15" customHeight="1">
      <c r="B572" s="26" t="n">
        <v>44994</v>
      </c>
      <c r="C572" s="27" t="n">
        <v>1386.42</v>
      </c>
      <c r="D572" s="27" t="n">
        <v>21655.17</v>
      </c>
      <c r="E572" s="28">
        <f>(C572-C571)/C571</f>
        <v/>
      </c>
      <c r="F572" s="28">
        <f>(D572-D571)/D571</f>
        <v/>
      </c>
      <c r="G572" s="29">
        <f>E572-$H$27</f>
        <v/>
      </c>
      <c r="H572" s="29">
        <f>F572-$H$28</f>
        <v/>
      </c>
    </row>
    <row r="573" ht="15" customHeight="1">
      <c r="B573" s="24" t="n">
        <v>44995</v>
      </c>
      <c r="C573" s="25" t="n">
        <v>1376.57</v>
      </c>
      <c r="D573" s="25" t="n">
        <v>21797.76</v>
      </c>
      <c r="E573" s="30">
        <f>(C573-C572)/C572</f>
        <v/>
      </c>
      <c r="F573" s="30">
        <f>(D573-D572)/D572</f>
        <v/>
      </c>
      <c r="G573" s="29">
        <f>E573-$H$27</f>
        <v/>
      </c>
      <c r="H573" s="29">
        <f>F573-$H$28</f>
        <v/>
      </c>
    </row>
    <row r="574" ht="15" customHeight="1">
      <c r="B574" s="26" t="n">
        <v>44998</v>
      </c>
      <c r="C574" s="27" t="n">
        <v>1368.56</v>
      </c>
      <c r="D574" s="27" t="n">
        <v>21978.96</v>
      </c>
      <c r="E574" s="28">
        <f>(C574-C573)/C573</f>
        <v/>
      </c>
      <c r="F574" s="28">
        <f>(D574-D573)/D573</f>
        <v/>
      </c>
      <c r="G574" s="29">
        <f>E574-$H$27</f>
        <v/>
      </c>
      <c r="H574" s="29">
        <f>F574-$H$28</f>
        <v/>
      </c>
    </row>
    <row r="575" ht="15" customHeight="1">
      <c r="B575" s="24" t="n">
        <v>44999</v>
      </c>
      <c r="C575" s="25" t="n">
        <v>1351.67</v>
      </c>
      <c r="D575" s="25" t="n">
        <v>22071.97</v>
      </c>
      <c r="E575" s="30">
        <f>(C575-C574)/C574</f>
        <v/>
      </c>
      <c r="F575" s="30">
        <f>(D575-D574)/D574</f>
        <v/>
      </c>
      <c r="G575" s="29">
        <f>E575-$H$27</f>
        <v/>
      </c>
      <c r="H575" s="29">
        <f>F575-$H$28</f>
        <v/>
      </c>
    </row>
    <row r="576" ht="15" customHeight="1">
      <c r="B576" s="26" t="n">
        <v>45000</v>
      </c>
      <c r="C576" s="27" t="n">
        <v>1370.8</v>
      </c>
      <c r="D576" s="27" t="n">
        <v>22405.45</v>
      </c>
      <c r="E576" s="28">
        <f>(C576-C575)/C575</f>
        <v/>
      </c>
      <c r="F576" s="28">
        <f>(D576-D575)/D575</f>
        <v/>
      </c>
      <c r="G576" s="29">
        <f>E576-$H$27</f>
        <v/>
      </c>
      <c r="H576" s="29">
        <f>F576-$H$28</f>
        <v/>
      </c>
    </row>
    <row r="577" ht="15" customHeight="1">
      <c r="B577" s="24" t="n">
        <v>45001</v>
      </c>
      <c r="C577" s="25" t="n">
        <v>1391.05</v>
      </c>
      <c r="D577" s="25" t="n">
        <v>22326.4</v>
      </c>
      <c r="E577" s="30">
        <f>(C577-C576)/C576</f>
        <v/>
      </c>
      <c r="F577" s="30">
        <f>(D577-D576)/D576</f>
        <v/>
      </c>
      <c r="G577" s="29">
        <f>E577-$H$27</f>
        <v/>
      </c>
      <c r="H577" s="29">
        <f>F577-$H$28</f>
        <v/>
      </c>
    </row>
    <row r="578" ht="15" customHeight="1">
      <c r="B578" s="26" t="n">
        <v>45002</v>
      </c>
      <c r="C578" s="27" t="n">
        <v>1375.45</v>
      </c>
      <c r="D578" s="27" t="n">
        <v>22816.55</v>
      </c>
      <c r="E578" s="28">
        <f>(C578-C577)/C577</f>
        <v/>
      </c>
      <c r="F578" s="28">
        <f>(D578-D577)/D577</f>
        <v/>
      </c>
      <c r="G578" s="29">
        <f>E578-$H$27</f>
        <v/>
      </c>
      <c r="H578" s="29">
        <f>F578-$H$28</f>
        <v/>
      </c>
    </row>
    <row r="579" ht="15" customHeight="1">
      <c r="B579" s="24" t="n">
        <v>45005</v>
      </c>
      <c r="C579" s="25" t="n">
        <v>1404.95</v>
      </c>
      <c r="D579" s="25" t="n">
        <v>22634.19</v>
      </c>
      <c r="E579" s="30">
        <f>(C579-C578)/C578</f>
        <v/>
      </c>
      <c r="F579" s="30">
        <f>(D579-D578)/D578</f>
        <v/>
      </c>
      <c r="G579" s="29">
        <f>E579-$H$27</f>
        <v/>
      </c>
      <c r="H579" s="29">
        <f>F579-$H$28</f>
        <v/>
      </c>
    </row>
    <row r="580" ht="15" customHeight="1">
      <c r="B580" s="26" t="n">
        <v>45006</v>
      </c>
      <c r="C580" s="27" t="n">
        <v>1406.7</v>
      </c>
      <c r="D580" s="27" t="n">
        <v>22466.55</v>
      </c>
      <c r="E580" s="28">
        <f>(C580-C579)/C579</f>
        <v/>
      </c>
      <c r="F580" s="28">
        <f>(D580-D579)/D579</f>
        <v/>
      </c>
      <c r="G580" s="29">
        <f>E580-$H$27</f>
        <v/>
      </c>
      <c r="H580" s="29">
        <f>F580-$H$28</f>
        <v/>
      </c>
    </row>
    <row r="581" ht="15" customHeight="1">
      <c r="B581" s="24" t="n">
        <v>45007</v>
      </c>
      <c r="C581" s="25" t="n">
        <v>1352.48</v>
      </c>
      <c r="D581" s="25" t="n">
        <v>22483.2</v>
      </c>
      <c r="E581" s="30">
        <f>(C581-C580)/C580</f>
        <v/>
      </c>
      <c r="F581" s="30">
        <f>(D581-D580)/D580</f>
        <v/>
      </c>
      <c r="G581" s="29">
        <f>E581-$H$27</f>
        <v/>
      </c>
      <c r="H581" s="29">
        <f>F581-$H$28</f>
        <v/>
      </c>
    </row>
    <row r="582" ht="15" customHeight="1">
      <c r="B582" s="26" t="n">
        <v>45008</v>
      </c>
      <c r="C582" s="27" t="n">
        <v>1340.71</v>
      </c>
      <c r="D582" s="27" t="n">
        <v>22545.98</v>
      </c>
      <c r="E582" s="28">
        <f>(C582-C581)/C581</f>
        <v/>
      </c>
      <c r="F582" s="28">
        <f>(D582-D581)/D581</f>
        <v/>
      </c>
      <c r="G582" s="29">
        <f>E582-$H$27</f>
        <v/>
      </c>
      <c r="H582" s="29">
        <f>F582-$H$28</f>
        <v/>
      </c>
    </row>
    <row r="583" ht="15" customHeight="1">
      <c r="B583" s="24" t="n">
        <v>45009</v>
      </c>
      <c r="C583" s="25" t="n">
        <v>1375.17</v>
      </c>
      <c r="D583" s="25" t="n">
        <v>22421.73</v>
      </c>
      <c r="E583" s="30">
        <f>(C583-C582)/C582</f>
        <v/>
      </c>
      <c r="F583" s="30">
        <f>(D583-D582)/D582</f>
        <v/>
      </c>
      <c r="G583" s="29">
        <f>E583-$H$27</f>
        <v/>
      </c>
      <c r="H583" s="29">
        <f>F583-$H$28</f>
        <v/>
      </c>
    </row>
    <row r="584" ht="15" customHeight="1">
      <c r="B584" s="26" t="n">
        <v>45012</v>
      </c>
      <c r="C584" s="27" t="n">
        <v>1343.08</v>
      </c>
      <c r="D584" s="27" t="n">
        <v>22608.83</v>
      </c>
      <c r="E584" s="28">
        <f>(C584-C583)/C583</f>
        <v/>
      </c>
      <c r="F584" s="28">
        <f>(D584-D583)/D583</f>
        <v/>
      </c>
      <c r="G584" s="29">
        <f>E584-$H$27</f>
        <v/>
      </c>
      <c r="H584" s="29">
        <f>F584-$H$28</f>
        <v/>
      </c>
    </row>
    <row r="585" ht="15" customHeight="1">
      <c r="B585" s="24" t="n">
        <v>45013</v>
      </c>
      <c r="C585" s="25" t="n">
        <v>1328.21</v>
      </c>
      <c r="D585" s="25" t="n">
        <v>23072.77</v>
      </c>
      <c r="E585" s="30">
        <f>(C585-C584)/C584</f>
        <v/>
      </c>
      <c r="F585" s="30">
        <f>(D585-D584)/D584</f>
        <v/>
      </c>
      <c r="G585" s="29">
        <f>E585-$H$27</f>
        <v/>
      </c>
      <c r="H585" s="29">
        <f>F585-$H$28</f>
        <v/>
      </c>
    </row>
    <row r="586" ht="15" customHeight="1">
      <c r="B586" s="26" t="n">
        <v>45014</v>
      </c>
      <c r="C586" s="27" t="n">
        <v>1333.72</v>
      </c>
      <c r="D586" s="27" t="n">
        <v>22581.47</v>
      </c>
      <c r="E586" s="28">
        <f>(C586-C585)/C585</f>
        <v/>
      </c>
      <c r="F586" s="28">
        <f>(D586-D585)/D585</f>
        <v/>
      </c>
      <c r="G586" s="29">
        <f>E586-$H$27</f>
        <v/>
      </c>
      <c r="H586" s="29">
        <f>F586-$H$28</f>
        <v/>
      </c>
    </row>
    <row r="587" ht="15" customHeight="1">
      <c r="B587" s="24" t="n">
        <v>45015</v>
      </c>
      <c r="C587" s="25" t="n">
        <v>1345.26</v>
      </c>
      <c r="D587" s="25" t="n">
        <v>22519.29</v>
      </c>
      <c r="E587" s="30">
        <f>(C587-C586)/C586</f>
        <v/>
      </c>
      <c r="F587" s="30">
        <f>(D587-D586)/D586</f>
        <v/>
      </c>
      <c r="G587" s="29">
        <f>E587-$H$27</f>
        <v/>
      </c>
      <c r="H587" s="29">
        <f>F587-$H$28</f>
        <v/>
      </c>
    </row>
    <row r="588" ht="15" customHeight="1">
      <c r="B588" s="26" t="n">
        <v>45016</v>
      </c>
      <c r="C588" s="27" t="n">
        <v>1327.28</v>
      </c>
      <c r="D588" s="27" t="n">
        <v>22920.19</v>
      </c>
      <c r="E588" s="28">
        <f>(C588-C587)/C587</f>
        <v/>
      </c>
      <c r="F588" s="28">
        <f>(D588-D587)/D587</f>
        <v/>
      </c>
      <c r="G588" s="29">
        <f>E588-$H$27</f>
        <v/>
      </c>
      <c r="H588" s="29">
        <f>F588-$H$28</f>
        <v/>
      </c>
    </row>
    <row r="589" ht="15" customHeight="1">
      <c r="B589" s="24" t="n">
        <v>45019</v>
      </c>
      <c r="C589" s="25" t="n">
        <v>1323.92</v>
      </c>
      <c r="D589" s="25" t="n">
        <v>22945.06</v>
      </c>
      <c r="E589" s="30">
        <f>(C589-C588)/C588</f>
        <v/>
      </c>
      <c r="F589" s="30">
        <f>(D589-D588)/D588</f>
        <v/>
      </c>
      <c r="G589" s="29">
        <f>E589-$H$27</f>
        <v/>
      </c>
      <c r="H589" s="29">
        <f>F589-$H$28</f>
        <v/>
      </c>
    </row>
    <row r="590" ht="15" customHeight="1">
      <c r="B590" s="26" t="n">
        <v>45020</v>
      </c>
      <c r="C590" s="27" t="n">
        <v>1347.67</v>
      </c>
      <c r="D590" s="27" t="n">
        <v>23104.88</v>
      </c>
      <c r="E590" s="28">
        <f>(C590-C589)/C589</f>
        <v/>
      </c>
      <c r="F590" s="28">
        <f>(D590-D589)/D589</f>
        <v/>
      </c>
      <c r="G590" s="29">
        <f>E590-$H$27</f>
        <v/>
      </c>
      <c r="H590" s="29">
        <f>F590-$H$28</f>
        <v/>
      </c>
    </row>
    <row r="591" ht="15" customHeight="1">
      <c r="B591" s="24" t="n">
        <v>45021</v>
      </c>
      <c r="C591" s="25" t="n">
        <v>1339.61</v>
      </c>
      <c r="D591" s="25" t="n">
        <v>23518.78</v>
      </c>
      <c r="E591" s="30">
        <f>(C591-C590)/C590</f>
        <v/>
      </c>
      <c r="F591" s="30">
        <f>(D591-D590)/D590</f>
        <v/>
      </c>
      <c r="G591" s="29">
        <f>E591-$H$27</f>
        <v/>
      </c>
      <c r="H591" s="29">
        <f>F591-$H$28</f>
        <v/>
      </c>
    </row>
    <row r="592" ht="15" customHeight="1">
      <c r="B592" s="26" t="n">
        <v>45022</v>
      </c>
      <c r="C592" s="27" t="n">
        <v>1306.75</v>
      </c>
      <c r="D592" s="27" t="n">
        <v>23756.31</v>
      </c>
      <c r="E592" s="28">
        <f>(C592-C591)/C591</f>
        <v/>
      </c>
      <c r="F592" s="28">
        <f>(D592-D591)/D591</f>
        <v/>
      </c>
      <c r="G592" s="29">
        <f>E592-$H$27</f>
        <v/>
      </c>
      <c r="H592" s="29">
        <f>F592-$H$28</f>
        <v/>
      </c>
    </row>
    <row r="593" ht="15" customHeight="1">
      <c r="B593" s="24" t="n">
        <v>45023</v>
      </c>
      <c r="C593" s="25" t="n">
        <v>1338.56</v>
      </c>
      <c r="D593" s="25" t="n">
        <v>23973.12</v>
      </c>
      <c r="E593" s="30">
        <f>(C593-C592)/C592</f>
        <v/>
      </c>
      <c r="F593" s="30">
        <f>(D593-D592)/D592</f>
        <v/>
      </c>
      <c r="G593" s="29">
        <f>E593-$H$27</f>
        <v/>
      </c>
      <c r="H593" s="29">
        <f>F593-$H$28</f>
        <v/>
      </c>
    </row>
    <row r="594" ht="15" customHeight="1">
      <c r="B594" s="26" t="n">
        <v>45026</v>
      </c>
      <c r="C594" s="27" t="n">
        <v>1366.44</v>
      </c>
      <c r="D594" s="27" t="n">
        <v>23930.35</v>
      </c>
      <c r="E594" s="28">
        <f>(C594-C593)/C593</f>
        <v/>
      </c>
      <c r="F594" s="28">
        <f>(D594-D593)/D593</f>
        <v/>
      </c>
      <c r="G594" s="29">
        <f>E594-$H$27</f>
        <v/>
      </c>
      <c r="H594" s="29">
        <f>F594-$H$28</f>
        <v/>
      </c>
    </row>
    <row r="595" ht="15" customHeight="1">
      <c r="B595" s="24" t="n">
        <v>45027</v>
      </c>
      <c r="C595" s="25" t="n">
        <v>1371.56</v>
      </c>
      <c r="D595" s="25" t="n">
        <v>24061.92</v>
      </c>
      <c r="E595" s="30">
        <f>(C595-C594)/C594</f>
        <v/>
      </c>
      <c r="F595" s="30">
        <f>(D595-D594)/D594</f>
        <v/>
      </c>
      <c r="G595" s="29">
        <f>E595-$H$27</f>
        <v/>
      </c>
      <c r="H595" s="29">
        <f>F595-$H$28</f>
        <v/>
      </c>
    </row>
    <row r="596" ht="15" customHeight="1">
      <c r="B596" s="26" t="n">
        <v>45028</v>
      </c>
      <c r="C596" s="27" t="n">
        <v>1379.75</v>
      </c>
      <c r="D596" s="27" t="n">
        <v>24093.48</v>
      </c>
      <c r="E596" s="28">
        <f>(C596-C595)/C595</f>
        <v/>
      </c>
      <c r="F596" s="28">
        <f>(D596-D595)/D595</f>
        <v/>
      </c>
      <c r="G596" s="29">
        <f>E596-$H$27</f>
        <v/>
      </c>
      <c r="H596" s="29">
        <f>F596-$H$28</f>
        <v/>
      </c>
    </row>
    <row r="597" ht="15" customHeight="1">
      <c r="B597" s="24" t="n">
        <v>45029</v>
      </c>
      <c r="C597" s="25" t="n">
        <v>1366.08</v>
      </c>
      <c r="D597" s="25" t="n">
        <v>23898.1</v>
      </c>
      <c r="E597" s="30">
        <f>(C597-C596)/C596</f>
        <v/>
      </c>
      <c r="F597" s="30">
        <f>(D597-D596)/D596</f>
        <v/>
      </c>
      <c r="G597" s="29">
        <f>E597-$H$27</f>
        <v/>
      </c>
      <c r="H597" s="29">
        <f>F597-$H$28</f>
        <v/>
      </c>
    </row>
    <row r="598" ht="15" customHeight="1">
      <c r="B598" s="26" t="n">
        <v>45030</v>
      </c>
      <c r="C598" s="27" t="n">
        <v>1422.31</v>
      </c>
      <c r="D598" s="27" t="n">
        <v>23504.36</v>
      </c>
      <c r="E598" s="28">
        <f>(C598-C597)/C597</f>
        <v/>
      </c>
      <c r="F598" s="28">
        <f>(D598-D597)/D597</f>
        <v/>
      </c>
      <c r="G598" s="29">
        <f>E598-$H$27</f>
        <v/>
      </c>
      <c r="H598" s="29">
        <f>F598-$H$28</f>
        <v/>
      </c>
    </row>
    <row r="599" ht="15" customHeight="1">
      <c r="B599" s="24" t="n">
        <v>45033</v>
      </c>
      <c r="C599" s="25" t="n">
        <v>1415.8</v>
      </c>
      <c r="D599" s="25" t="n">
        <v>23287.98</v>
      </c>
      <c r="E599" s="30">
        <f>(C599-C598)/C598</f>
        <v/>
      </c>
      <c r="F599" s="30">
        <f>(D599-D598)/D598</f>
        <v/>
      </c>
      <c r="G599" s="29">
        <f>E599-$H$27</f>
        <v/>
      </c>
      <c r="H599" s="29">
        <f>F599-$H$28</f>
        <v/>
      </c>
    </row>
    <row r="600" ht="15" customHeight="1">
      <c r="B600" s="26" t="n">
        <v>45034</v>
      </c>
      <c r="C600" s="27" t="n">
        <v>1377.42</v>
      </c>
      <c r="D600" s="27" t="n">
        <v>23208.49</v>
      </c>
      <c r="E600" s="28">
        <f>(C600-C599)/C599</f>
        <v/>
      </c>
      <c r="F600" s="28">
        <f>(D600-D599)/D599</f>
        <v/>
      </c>
      <c r="G600" s="29">
        <f>E600-$H$27</f>
        <v/>
      </c>
      <c r="H600" s="29">
        <f>F600-$H$28</f>
        <v/>
      </c>
    </row>
    <row r="601" ht="15" customHeight="1">
      <c r="B601" s="24" t="n">
        <v>45035</v>
      </c>
      <c r="C601" s="25" t="n">
        <v>1319.92</v>
      </c>
      <c r="D601" s="25" t="n">
        <v>23132.29</v>
      </c>
      <c r="E601" s="30">
        <f>(C601-C600)/C600</f>
        <v/>
      </c>
      <c r="F601" s="30">
        <f>(D601-D600)/D600</f>
        <v/>
      </c>
      <c r="G601" s="29">
        <f>E601-$H$27</f>
        <v/>
      </c>
      <c r="H601" s="29">
        <f>F601-$H$28</f>
        <v/>
      </c>
    </row>
    <row r="602" ht="15" customHeight="1">
      <c r="B602" s="26" t="n">
        <v>45036</v>
      </c>
      <c r="C602" s="27" t="n">
        <v>1382.4</v>
      </c>
      <c r="D602" s="27" t="n">
        <v>23145.29</v>
      </c>
      <c r="E602" s="28">
        <f>(C602-C601)/C601</f>
        <v/>
      </c>
      <c r="F602" s="28">
        <f>(D602-D601)/D601</f>
        <v/>
      </c>
      <c r="G602" s="29">
        <f>E602-$H$27</f>
        <v/>
      </c>
      <c r="H602" s="29">
        <f>F602-$H$28</f>
        <v/>
      </c>
    </row>
    <row r="603" ht="15" customHeight="1">
      <c r="B603" s="24" t="n">
        <v>45037</v>
      </c>
      <c r="C603" s="25" t="n">
        <v>1376.58</v>
      </c>
      <c r="D603" s="25" t="n">
        <v>22976.81</v>
      </c>
      <c r="E603" s="30">
        <f>(C603-C602)/C602</f>
        <v/>
      </c>
      <c r="F603" s="30">
        <f>(D603-D602)/D602</f>
        <v/>
      </c>
      <c r="G603" s="29">
        <f>E603-$H$27</f>
        <v/>
      </c>
      <c r="H603" s="29">
        <f>F603-$H$28</f>
        <v/>
      </c>
    </row>
    <row r="604" ht="15" customHeight="1">
      <c r="B604" s="26" t="n">
        <v>45040</v>
      </c>
      <c r="C604" s="27" t="n">
        <v>1368.99</v>
      </c>
      <c r="D604" s="27" t="n">
        <v>23283.78</v>
      </c>
      <c r="E604" s="28">
        <f>(C604-C603)/C603</f>
        <v/>
      </c>
      <c r="F604" s="28">
        <f>(D604-D603)/D603</f>
        <v/>
      </c>
      <c r="G604" s="29">
        <f>E604-$H$27</f>
        <v/>
      </c>
      <c r="H604" s="29">
        <f>F604-$H$28</f>
        <v/>
      </c>
    </row>
    <row r="605" ht="15" customHeight="1">
      <c r="B605" s="24" t="n">
        <v>45041</v>
      </c>
      <c r="C605" s="25" t="n">
        <v>1343.06</v>
      </c>
      <c r="D605" s="25" t="n">
        <v>23512.86</v>
      </c>
      <c r="E605" s="30">
        <f>(C605-C604)/C604</f>
        <v/>
      </c>
      <c r="F605" s="30">
        <f>(D605-D604)/D604</f>
        <v/>
      </c>
      <c r="G605" s="29">
        <f>E605-$H$27</f>
        <v/>
      </c>
      <c r="H605" s="29">
        <f>F605-$H$28</f>
        <v/>
      </c>
    </row>
    <row r="606" ht="15" customHeight="1">
      <c r="B606" s="26" t="n">
        <v>45042</v>
      </c>
      <c r="C606" s="27" t="n">
        <v>1351.01</v>
      </c>
      <c r="D606" s="27" t="n">
        <v>23142.08</v>
      </c>
      <c r="E606" s="28">
        <f>(C606-C605)/C605</f>
        <v/>
      </c>
      <c r="F606" s="28">
        <f>(D606-D605)/D605</f>
        <v/>
      </c>
      <c r="G606" s="29">
        <f>E606-$H$27</f>
        <v/>
      </c>
      <c r="H606" s="29">
        <f>F606-$H$28</f>
        <v/>
      </c>
    </row>
    <row r="607" ht="15" customHeight="1">
      <c r="B607" s="24" t="n">
        <v>45043</v>
      </c>
      <c r="C607" s="25" t="n">
        <v>1350.52</v>
      </c>
      <c r="D607" s="25" t="n">
        <v>22729.42</v>
      </c>
      <c r="E607" s="30">
        <f>(C607-C606)/C606</f>
        <v/>
      </c>
      <c r="F607" s="30">
        <f>(D607-D606)/D606</f>
        <v/>
      </c>
      <c r="G607" s="29">
        <f>E607-$H$27</f>
        <v/>
      </c>
      <c r="H607" s="29">
        <f>F607-$H$28</f>
        <v/>
      </c>
    </row>
    <row r="608" ht="15" customHeight="1">
      <c r="B608" s="26" t="n">
        <v>45044</v>
      </c>
      <c r="C608" s="27" t="n">
        <v>1361.2</v>
      </c>
      <c r="D608" s="27" t="n">
        <v>23035.01</v>
      </c>
      <c r="E608" s="28">
        <f>(C608-C607)/C607</f>
        <v/>
      </c>
      <c r="F608" s="28">
        <f>(D608-D607)/D607</f>
        <v/>
      </c>
      <c r="G608" s="29">
        <f>E608-$H$27</f>
        <v/>
      </c>
      <c r="H608" s="29">
        <f>F608-$H$28</f>
        <v/>
      </c>
    </row>
    <row r="609" ht="15" customHeight="1">
      <c r="B609" s="24" t="n">
        <v>45047</v>
      </c>
      <c r="C609" s="25" t="n">
        <v>1357.15</v>
      </c>
      <c r="D609" s="25" t="n">
        <v>22625.26</v>
      </c>
      <c r="E609" s="30">
        <f>(C609-C608)/C608</f>
        <v/>
      </c>
      <c r="F609" s="30">
        <f>(D609-D608)/D608</f>
        <v/>
      </c>
      <c r="G609" s="29">
        <f>E609-$H$27</f>
        <v/>
      </c>
      <c r="H609" s="29">
        <f>F609-$H$28</f>
        <v/>
      </c>
    </row>
    <row r="610" ht="15" customHeight="1">
      <c r="B610" s="26" t="n">
        <v>45048</v>
      </c>
      <c r="C610" s="27" t="n">
        <v>1318.39</v>
      </c>
      <c r="D610" s="27" t="n">
        <v>22702.03</v>
      </c>
      <c r="E610" s="28">
        <f>(C610-C609)/C609</f>
        <v/>
      </c>
      <c r="F610" s="28">
        <f>(D610-D609)/D609</f>
        <v/>
      </c>
      <c r="G610" s="29">
        <f>E610-$H$27</f>
        <v/>
      </c>
      <c r="H610" s="29">
        <f>F610-$H$28</f>
        <v/>
      </c>
    </row>
    <row r="611" ht="15" customHeight="1">
      <c r="B611" s="24" t="n">
        <v>45049</v>
      </c>
      <c r="C611" s="25" t="n">
        <v>1331.73</v>
      </c>
      <c r="D611" s="25" t="n">
        <v>22478.95</v>
      </c>
      <c r="E611" s="30">
        <f>(C611-C610)/C610</f>
        <v/>
      </c>
      <c r="F611" s="30">
        <f>(D611-D610)/D610</f>
        <v/>
      </c>
      <c r="G611" s="29">
        <f>E611-$H$27</f>
        <v/>
      </c>
      <c r="H611" s="29">
        <f>F611-$H$28</f>
        <v/>
      </c>
    </row>
    <row r="612" ht="15" customHeight="1">
      <c r="B612" s="26" t="n">
        <v>45050</v>
      </c>
      <c r="C612" s="27" t="n">
        <v>1337.44</v>
      </c>
      <c r="D612" s="27" t="n">
        <v>22668.14</v>
      </c>
      <c r="E612" s="28">
        <f>(C612-C611)/C611</f>
        <v/>
      </c>
      <c r="F612" s="28">
        <f>(D612-D611)/D611</f>
        <v/>
      </c>
      <c r="G612" s="29">
        <f>E612-$H$27</f>
        <v/>
      </c>
      <c r="H612" s="29">
        <f>F612-$H$28</f>
        <v/>
      </c>
    </row>
    <row r="613" ht="15" customHeight="1">
      <c r="B613" s="24" t="n">
        <v>45051</v>
      </c>
      <c r="C613" s="25" t="n">
        <v>1307.03</v>
      </c>
      <c r="D613" s="25" t="n">
        <v>22736.07</v>
      </c>
      <c r="E613" s="30">
        <f>(C613-C612)/C612</f>
        <v/>
      </c>
      <c r="F613" s="30">
        <f>(D613-D612)/D612</f>
        <v/>
      </c>
      <c r="G613" s="29">
        <f>E613-$H$27</f>
        <v/>
      </c>
      <c r="H613" s="29">
        <f>F613-$H$28</f>
        <v/>
      </c>
    </row>
    <row r="614" ht="15" customHeight="1">
      <c r="B614" s="26" t="n">
        <v>45054</v>
      </c>
      <c r="C614" s="27" t="n">
        <v>1243.98</v>
      </c>
      <c r="D614" s="27" t="n">
        <v>22679.79</v>
      </c>
      <c r="E614" s="28">
        <f>(C614-C613)/C613</f>
        <v/>
      </c>
      <c r="F614" s="28">
        <f>(D614-D613)/D613</f>
        <v/>
      </c>
      <c r="G614" s="29">
        <f>E614-$H$27</f>
        <v/>
      </c>
      <c r="H614" s="29">
        <f>F614-$H$28</f>
        <v/>
      </c>
    </row>
    <row r="615" ht="15" customHeight="1">
      <c r="B615" s="24" t="n">
        <v>45055</v>
      </c>
      <c r="C615" s="25" t="n">
        <v>1240.41</v>
      </c>
      <c r="D615" s="25" t="n">
        <v>22792.87</v>
      </c>
      <c r="E615" s="30">
        <f>(C615-C614)/C614</f>
        <v/>
      </c>
      <c r="F615" s="30">
        <f>(D615-D614)/D614</f>
        <v/>
      </c>
      <c r="G615" s="29">
        <f>E615-$H$27</f>
        <v/>
      </c>
      <c r="H615" s="29">
        <f>F615-$H$28</f>
        <v/>
      </c>
    </row>
    <row r="616" ht="15" customHeight="1">
      <c r="B616" s="26" t="n">
        <v>45056</v>
      </c>
      <c r="C616" s="27" t="n">
        <v>1263.5</v>
      </c>
      <c r="D616" s="27" t="n">
        <v>22599.92</v>
      </c>
      <c r="E616" s="28">
        <f>(C616-C615)/C615</f>
        <v/>
      </c>
      <c r="F616" s="28">
        <f>(D616-D615)/D615</f>
        <v/>
      </c>
      <c r="G616" s="29">
        <f>E616-$H$27</f>
        <v/>
      </c>
      <c r="H616" s="29">
        <f>F616-$H$28</f>
        <v/>
      </c>
    </row>
    <row r="617" ht="15" customHeight="1">
      <c r="B617" s="24" t="n">
        <v>45057</v>
      </c>
      <c r="C617" s="25" t="n">
        <v>1270.87</v>
      </c>
      <c r="D617" s="25" t="n">
        <v>22807.38</v>
      </c>
      <c r="E617" s="30">
        <f>(C617-C616)/C616</f>
        <v/>
      </c>
      <c r="F617" s="30">
        <f>(D617-D616)/D616</f>
        <v/>
      </c>
      <c r="G617" s="29">
        <f>E617-$H$27</f>
        <v/>
      </c>
      <c r="H617" s="29">
        <f>F617-$H$28</f>
        <v/>
      </c>
    </row>
    <row r="618" ht="15" customHeight="1">
      <c r="B618" s="26" t="n">
        <v>45058</v>
      </c>
      <c r="C618" s="27" t="n">
        <v>1273.57</v>
      </c>
      <c r="D618" s="27" t="n">
        <v>22880.08</v>
      </c>
      <c r="E618" s="28">
        <f>(C618-C617)/C617</f>
        <v/>
      </c>
      <c r="F618" s="28">
        <f>(D618-D617)/D617</f>
        <v/>
      </c>
      <c r="G618" s="29">
        <f>E618-$H$27</f>
        <v/>
      </c>
      <c r="H618" s="29">
        <f>F618-$H$28</f>
        <v/>
      </c>
    </row>
    <row r="619" ht="15" customHeight="1">
      <c r="B619" s="24" t="n">
        <v>45061</v>
      </c>
      <c r="C619" s="25" t="n">
        <v>1287.64</v>
      </c>
      <c r="D619" s="25" t="n">
        <v>22787.7</v>
      </c>
      <c r="E619" s="30">
        <f>(C619-C618)/C618</f>
        <v/>
      </c>
      <c r="F619" s="30">
        <f>(D619-D618)/D618</f>
        <v/>
      </c>
      <c r="G619" s="29">
        <f>E619-$H$27</f>
        <v/>
      </c>
      <c r="H619" s="29">
        <f>F619-$H$28</f>
        <v/>
      </c>
    </row>
    <row r="620" ht="15" customHeight="1">
      <c r="B620" s="26" t="n">
        <v>45062</v>
      </c>
      <c r="C620" s="27" t="n">
        <v>1287.73</v>
      </c>
      <c r="D620" s="27" t="n">
        <v>23005.5</v>
      </c>
      <c r="E620" s="28">
        <f>(C620-C619)/C619</f>
        <v/>
      </c>
      <c r="F620" s="28">
        <f>(D620-D619)/D619</f>
        <v/>
      </c>
      <c r="G620" s="29">
        <f>E620-$H$27</f>
        <v/>
      </c>
      <c r="H620" s="29">
        <f>F620-$H$28</f>
        <v/>
      </c>
    </row>
    <row r="621" ht="15" customHeight="1">
      <c r="B621" s="24" t="n">
        <v>45063</v>
      </c>
      <c r="C621" s="25" t="n">
        <v>1265.64</v>
      </c>
      <c r="D621" s="25" t="n">
        <v>23104.85</v>
      </c>
      <c r="E621" s="30">
        <f>(C621-C620)/C620</f>
        <v/>
      </c>
      <c r="F621" s="30">
        <f>(D621-D620)/D620</f>
        <v/>
      </c>
      <c r="G621" s="29">
        <f>E621-$H$27</f>
        <v/>
      </c>
      <c r="H621" s="29">
        <f>F621-$H$28</f>
        <v/>
      </c>
    </row>
    <row r="622" ht="15" customHeight="1">
      <c r="B622" s="26" t="n">
        <v>45064</v>
      </c>
      <c r="C622" s="27" t="n">
        <v>1271.69</v>
      </c>
      <c r="D622" s="27" t="n">
        <v>23262.82</v>
      </c>
      <c r="E622" s="28">
        <f>(C622-C621)/C621</f>
        <v/>
      </c>
      <c r="F622" s="28">
        <f>(D622-D621)/D621</f>
        <v/>
      </c>
      <c r="G622" s="29">
        <f>E622-$H$27</f>
        <v/>
      </c>
      <c r="H622" s="29">
        <f>F622-$H$28</f>
        <v/>
      </c>
    </row>
    <row r="623" ht="15" customHeight="1">
      <c r="B623" s="24" t="n">
        <v>45065</v>
      </c>
      <c r="C623" s="25" t="n">
        <v>1282.7</v>
      </c>
      <c r="D623" s="25" t="n">
        <v>23124.17</v>
      </c>
      <c r="E623" s="30">
        <f>(C623-C622)/C622</f>
        <v/>
      </c>
      <c r="F623" s="30">
        <f>(D623-D622)/D622</f>
        <v/>
      </c>
      <c r="G623" s="29">
        <f>E623-$H$27</f>
        <v/>
      </c>
      <c r="H623" s="29">
        <f>F623-$H$28</f>
        <v/>
      </c>
    </row>
    <row r="624" ht="15" customHeight="1">
      <c r="B624" s="26" t="n">
        <v>45068</v>
      </c>
      <c r="C624" s="27" t="n">
        <v>1264.29</v>
      </c>
      <c r="D624" s="27" t="n">
        <v>22736.67</v>
      </c>
      <c r="E624" s="28">
        <f>(C624-C623)/C623</f>
        <v/>
      </c>
      <c r="F624" s="28">
        <f>(D624-D623)/D623</f>
        <v/>
      </c>
      <c r="G624" s="29">
        <f>E624-$H$27</f>
        <v/>
      </c>
      <c r="H624" s="29">
        <f>F624-$H$28</f>
        <v/>
      </c>
    </row>
    <row r="625" ht="15" customHeight="1">
      <c r="B625" s="24" t="n">
        <v>45069</v>
      </c>
      <c r="C625" s="25" t="n">
        <v>1257.24</v>
      </c>
      <c r="D625" s="25" t="n">
        <v>22746.25</v>
      </c>
      <c r="E625" s="30">
        <f>(C625-C624)/C624</f>
        <v/>
      </c>
      <c r="F625" s="30">
        <f>(D625-D624)/D624</f>
        <v/>
      </c>
      <c r="G625" s="29">
        <f>E625-$H$27</f>
        <v/>
      </c>
      <c r="H625" s="29">
        <f>F625-$H$28</f>
        <v/>
      </c>
    </row>
    <row r="626" ht="15" customHeight="1">
      <c r="B626" s="26" t="n">
        <v>45070</v>
      </c>
      <c r="C626" s="27" t="n">
        <v>1283.62</v>
      </c>
      <c r="D626" s="27" t="n">
        <v>22835.14</v>
      </c>
      <c r="E626" s="28">
        <f>(C626-C625)/C625</f>
        <v/>
      </c>
      <c r="F626" s="28">
        <f>(D626-D625)/D625</f>
        <v/>
      </c>
      <c r="G626" s="29">
        <f>E626-$H$27</f>
        <v/>
      </c>
      <c r="H626" s="29">
        <f>F626-$H$28</f>
        <v/>
      </c>
    </row>
    <row r="627" ht="15" customHeight="1">
      <c r="B627" s="24" t="n">
        <v>45071</v>
      </c>
      <c r="C627" s="25" t="n">
        <v>1251.63</v>
      </c>
      <c r="D627" s="25" t="n">
        <v>22944</v>
      </c>
      <c r="E627" s="30">
        <f>(C627-C626)/C626</f>
        <v/>
      </c>
      <c r="F627" s="30">
        <f>(D627-D626)/D626</f>
        <v/>
      </c>
      <c r="G627" s="29">
        <f>E627-$H$27</f>
        <v/>
      </c>
      <c r="H627" s="29">
        <f>F627-$H$28</f>
        <v/>
      </c>
    </row>
    <row r="628" ht="15" customHeight="1">
      <c r="B628" s="26" t="n">
        <v>45072</v>
      </c>
      <c r="C628" s="27" t="n">
        <v>1240.61</v>
      </c>
      <c r="D628" s="27" t="n">
        <v>22939.86</v>
      </c>
      <c r="E628" s="28">
        <f>(C628-C627)/C627</f>
        <v/>
      </c>
      <c r="F628" s="28">
        <f>(D628-D627)/D627</f>
        <v/>
      </c>
      <c r="G628" s="29">
        <f>E628-$H$27</f>
        <v/>
      </c>
      <c r="H628" s="29">
        <f>F628-$H$28</f>
        <v/>
      </c>
    </row>
    <row r="629" ht="15" customHeight="1">
      <c r="B629" s="24" t="n">
        <v>45075</v>
      </c>
      <c r="C629" s="25" t="n">
        <v>1201.41</v>
      </c>
      <c r="D629" s="25" t="n">
        <v>22669.42</v>
      </c>
      <c r="E629" s="30">
        <f>(C629-C628)/C628</f>
        <v/>
      </c>
      <c r="F629" s="30">
        <f>(D629-D628)/D628</f>
        <v/>
      </c>
      <c r="G629" s="29">
        <f>E629-$H$27</f>
        <v/>
      </c>
      <c r="H629" s="29">
        <f>F629-$H$28</f>
        <v/>
      </c>
    </row>
    <row r="630" ht="15" customHeight="1">
      <c r="B630" s="26" t="n">
        <v>45076</v>
      </c>
      <c r="C630" s="27" t="n">
        <v>1209.92</v>
      </c>
      <c r="D630" s="27" t="n">
        <v>22582.21</v>
      </c>
      <c r="E630" s="28">
        <f>(C630-C629)/C629</f>
        <v/>
      </c>
      <c r="F630" s="28">
        <f>(D630-D629)/D629</f>
        <v/>
      </c>
      <c r="G630" s="29">
        <f>E630-$H$27</f>
        <v/>
      </c>
      <c r="H630" s="29">
        <f>F630-$H$28</f>
        <v/>
      </c>
    </row>
    <row r="631" ht="15" customHeight="1">
      <c r="B631" s="24" t="n">
        <v>45077</v>
      </c>
      <c r="C631" s="25" t="n">
        <v>1248.57</v>
      </c>
      <c r="D631" s="25" t="n">
        <v>22388.48</v>
      </c>
      <c r="E631" s="30">
        <f>(C631-C630)/C630</f>
        <v/>
      </c>
      <c r="F631" s="30">
        <f>(D631-D630)/D630</f>
        <v/>
      </c>
      <c r="G631" s="29">
        <f>E631-$H$27</f>
        <v/>
      </c>
      <c r="H631" s="29">
        <f>F631-$H$28</f>
        <v/>
      </c>
    </row>
    <row r="632" ht="15" customHeight="1">
      <c r="B632" s="26" t="n">
        <v>45078</v>
      </c>
      <c r="C632" s="27" t="n">
        <v>1274.3</v>
      </c>
      <c r="D632" s="27" t="n">
        <v>22105.73</v>
      </c>
      <c r="E632" s="28">
        <f>(C632-C631)/C631</f>
        <v/>
      </c>
      <c r="F632" s="28">
        <f>(D632-D631)/D631</f>
        <v/>
      </c>
      <c r="G632" s="29">
        <f>E632-$H$27</f>
        <v/>
      </c>
      <c r="H632" s="29">
        <f>F632-$H$28</f>
        <v/>
      </c>
    </row>
    <row r="633" ht="15" customHeight="1">
      <c r="B633" s="24" t="n">
        <v>45079</v>
      </c>
      <c r="C633" s="25" t="n">
        <v>1309.18</v>
      </c>
      <c r="D633" s="25" t="n">
        <v>22243.73</v>
      </c>
      <c r="E633" s="30">
        <f>(C633-C632)/C632</f>
        <v/>
      </c>
      <c r="F633" s="30">
        <f>(D633-D632)/D632</f>
        <v/>
      </c>
      <c r="G633" s="29">
        <f>E633-$H$27</f>
        <v/>
      </c>
      <c r="H633" s="29">
        <f>F633-$H$28</f>
        <v/>
      </c>
    </row>
    <row r="634" ht="15" customHeight="1">
      <c r="B634" s="26" t="n">
        <v>45082</v>
      </c>
      <c r="C634" s="27" t="n">
        <v>1318.92</v>
      </c>
      <c r="D634" s="27" t="n">
        <v>22176.55</v>
      </c>
      <c r="E634" s="28">
        <f>(C634-C633)/C633</f>
        <v/>
      </c>
      <c r="F634" s="28">
        <f>(D634-D633)/D633</f>
        <v/>
      </c>
      <c r="G634" s="29">
        <f>E634-$H$27</f>
        <v/>
      </c>
      <c r="H634" s="29">
        <f>F634-$H$28</f>
        <v/>
      </c>
    </row>
    <row r="635" ht="15" customHeight="1">
      <c r="B635" s="24" t="n">
        <v>45083</v>
      </c>
      <c r="C635" s="25" t="n">
        <v>1358.51</v>
      </c>
      <c r="D635" s="25" t="n">
        <v>21992.13</v>
      </c>
      <c r="E635" s="30">
        <f>(C635-C634)/C634</f>
        <v/>
      </c>
      <c r="F635" s="30">
        <f>(D635-D634)/D634</f>
        <v/>
      </c>
      <c r="G635" s="29">
        <f>E635-$H$27</f>
        <v/>
      </c>
      <c r="H635" s="29">
        <f>F635-$H$28</f>
        <v/>
      </c>
    </row>
    <row r="636" ht="15" customHeight="1">
      <c r="B636" s="26" t="n">
        <v>45084</v>
      </c>
      <c r="C636" s="27" t="n">
        <v>1353.76</v>
      </c>
      <c r="D636" s="27" t="n">
        <v>22434.15</v>
      </c>
      <c r="E636" s="28">
        <f>(C636-C635)/C635</f>
        <v/>
      </c>
      <c r="F636" s="28">
        <f>(D636-D635)/D635</f>
        <v/>
      </c>
      <c r="G636" s="29">
        <f>E636-$H$27</f>
        <v/>
      </c>
      <c r="H636" s="29">
        <f>F636-$H$28</f>
        <v/>
      </c>
    </row>
    <row r="637" ht="15" customHeight="1">
      <c r="B637" s="24" t="n">
        <v>45085</v>
      </c>
      <c r="C637" s="25" t="n">
        <v>1351.23</v>
      </c>
      <c r="D637" s="25" t="n">
        <v>22311.58</v>
      </c>
      <c r="E637" s="30">
        <f>(C637-C636)/C636</f>
        <v/>
      </c>
      <c r="F637" s="30">
        <f>(D637-D636)/D636</f>
        <v/>
      </c>
      <c r="G637" s="29">
        <f>E637-$H$27</f>
        <v/>
      </c>
      <c r="H637" s="29">
        <f>F637-$H$28</f>
        <v/>
      </c>
    </row>
    <row r="638" ht="15" customHeight="1">
      <c r="B638" s="26" t="n">
        <v>45086</v>
      </c>
      <c r="C638" s="27" t="n">
        <v>1379.08</v>
      </c>
      <c r="D638" s="27" t="n">
        <v>22564.62</v>
      </c>
      <c r="E638" s="28">
        <f>(C638-C637)/C637</f>
        <v/>
      </c>
      <c r="F638" s="28">
        <f>(D638-D637)/D637</f>
        <v/>
      </c>
      <c r="G638" s="29">
        <f>E638-$H$27</f>
        <v/>
      </c>
      <c r="H638" s="29">
        <f>F638-$H$28</f>
        <v/>
      </c>
    </row>
    <row r="639" ht="15" customHeight="1">
      <c r="B639" s="24" t="n">
        <v>45089</v>
      </c>
      <c r="C639" s="25" t="n">
        <v>1391.39</v>
      </c>
      <c r="D639" s="25" t="n">
        <v>22605.77</v>
      </c>
      <c r="E639" s="30">
        <f>(C639-C638)/C638</f>
        <v/>
      </c>
      <c r="F639" s="30">
        <f>(D639-D638)/D638</f>
        <v/>
      </c>
      <c r="G639" s="29">
        <f>E639-$H$27</f>
        <v/>
      </c>
      <c r="H639" s="29">
        <f>F639-$H$28</f>
        <v/>
      </c>
    </row>
    <row r="640" ht="15" customHeight="1">
      <c r="B640" s="26" t="n">
        <v>45090</v>
      </c>
      <c r="C640" s="27" t="n">
        <v>1341.38</v>
      </c>
      <c r="D640" s="27" t="n">
        <v>22468.04</v>
      </c>
      <c r="E640" s="28">
        <f>(C640-C639)/C639</f>
        <v/>
      </c>
      <c r="F640" s="28">
        <f>(D640-D639)/D639</f>
        <v/>
      </c>
      <c r="G640" s="29">
        <f>E640-$H$27</f>
        <v/>
      </c>
      <c r="H640" s="29">
        <f>F640-$H$28</f>
        <v/>
      </c>
    </row>
    <row r="641" ht="15" customHeight="1">
      <c r="B641" s="24" t="n">
        <v>45091</v>
      </c>
      <c r="C641" s="25" t="n">
        <v>1354.59</v>
      </c>
      <c r="D641" s="25" t="n">
        <v>22775.16</v>
      </c>
      <c r="E641" s="30">
        <f>(C641-C640)/C640</f>
        <v/>
      </c>
      <c r="F641" s="30">
        <f>(D641-D640)/D640</f>
        <v/>
      </c>
      <c r="G641" s="29">
        <f>E641-$H$27</f>
        <v/>
      </c>
      <c r="H641" s="29">
        <f>F641-$H$28</f>
        <v/>
      </c>
    </row>
    <row r="642" ht="15" customHeight="1">
      <c r="B642" s="26" t="n">
        <v>45092</v>
      </c>
      <c r="C642" s="27" t="n">
        <v>1363.06</v>
      </c>
      <c r="D642" s="27" t="n">
        <v>22782.25</v>
      </c>
      <c r="E642" s="28">
        <f>(C642-C641)/C641</f>
        <v/>
      </c>
      <c r="F642" s="28">
        <f>(D642-D641)/D641</f>
        <v/>
      </c>
      <c r="G642" s="29">
        <f>E642-$H$27</f>
        <v/>
      </c>
      <c r="H642" s="29">
        <f>F642-$H$28</f>
        <v/>
      </c>
    </row>
    <row r="643" ht="15" customHeight="1">
      <c r="B643" s="24" t="n">
        <v>45093</v>
      </c>
      <c r="C643" s="25" t="n">
        <v>1331.7</v>
      </c>
      <c r="D643" s="25" t="n">
        <v>22744.22</v>
      </c>
      <c r="E643" s="30">
        <f>(C643-C642)/C642</f>
        <v/>
      </c>
      <c r="F643" s="30">
        <f>(D643-D642)/D642</f>
        <v/>
      </c>
      <c r="G643" s="29">
        <f>E643-$H$27</f>
        <v/>
      </c>
      <c r="H643" s="29">
        <f>F643-$H$28</f>
        <v/>
      </c>
    </row>
    <row r="644" ht="15" customHeight="1">
      <c r="B644" s="26" t="n">
        <v>45096</v>
      </c>
      <c r="C644" s="27" t="n">
        <v>1324.57</v>
      </c>
      <c r="D644" s="27" t="n">
        <v>22614.38</v>
      </c>
      <c r="E644" s="28">
        <f>(C644-C643)/C643</f>
        <v/>
      </c>
      <c r="F644" s="28">
        <f>(D644-D643)/D643</f>
        <v/>
      </c>
      <c r="G644" s="29">
        <f>E644-$H$27</f>
        <v/>
      </c>
      <c r="H644" s="29">
        <f>F644-$H$28</f>
        <v/>
      </c>
    </row>
    <row r="645" ht="15" customHeight="1">
      <c r="B645" s="24" t="n">
        <v>45097</v>
      </c>
      <c r="C645" s="25" t="n">
        <v>1323.44</v>
      </c>
      <c r="D645" s="25" t="n">
        <v>22622.75</v>
      </c>
      <c r="E645" s="30">
        <f>(C645-C644)/C644</f>
        <v/>
      </c>
      <c r="F645" s="30">
        <f>(D645-D644)/D644</f>
        <v/>
      </c>
      <c r="G645" s="29">
        <f>E645-$H$27</f>
        <v/>
      </c>
      <c r="H645" s="29">
        <f>F645-$H$28</f>
        <v/>
      </c>
    </row>
    <row r="646" ht="15" customHeight="1">
      <c r="B646" s="26" t="n">
        <v>45098</v>
      </c>
      <c r="C646" s="27" t="n">
        <v>1297.13</v>
      </c>
      <c r="D646" s="27" t="n">
        <v>22232.91</v>
      </c>
      <c r="E646" s="28">
        <f>(C646-C645)/C645</f>
        <v/>
      </c>
      <c r="F646" s="28">
        <f>(D646-D645)/D645</f>
        <v/>
      </c>
      <c r="G646" s="29">
        <f>E646-$H$27</f>
        <v/>
      </c>
      <c r="H646" s="29">
        <f>F646-$H$28</f>
        <v/>
      </c>
    </row>
    <row r="647" ht="15" customHeight="1">
      <c r="B647" s="24" t="n">
        <v>45099</v>
      </c>
      <c r="C647" s="25" t="n">
        <v>1305.28</v>
      </c>
      <c r="D647" s="25" t="n">
        <v>22248.04</v>
      </c>
      <c r="E647" s="30">
        <f>(C647-C646)/C646</f>
        <v/>
      </c>
      <c r="F647" s="30">
        <f>(D647-D646)/D646</f>
        <v/>
      </c>
      <c r="G647" s="29">
        <f>E647-$H$27</f>
        <v/>
      </c>
      <c r="H647" s="29">
        <f>F647-$H$28</f>
        <v/>
      </c>
    </row>
    <row r="648" ht="15" customHeight="1">
      <c r="B648" s="26" t="n">
        <v>45100</v>
      </c>
      <c r="C648" s="27" t="n">
        <v>1300.76</v>
      </c>
      <c r="D648" s="27" t="n">
        <v>22065.31</v>
      </c>
      <c r="E648" s="28">
        <f>(C648-C647)/C647</f>
        <v/>
      </c>
      <c r="F648" s="28">
        <f>(D648-D647)/D647</f>
        <v/>
      </c>
      <c r="G648" s="29">
        <f>E648-$H$27</f>
        <v/>
      </c>
      <c r="H648" s="29">
        <f>F648-$H$28</f>
        <v/>
      </c>
    </row>
    <row r="649" ht="15" customHeight="1">
      <c r="B649" s="24" t="n">
        <v>45103</v>
      </c>
      <c r="C649" s="25" t="n">
        <v>1308.42</v>
      </c>
      <c r="D649" s="25" t="n">
        <v>22046.68</v>
      </c>
      <c r="E649" s="30">
        <f>(C649-C648)/C648</f>
        <v/>
      </c>
      <c r="F649" s="30">
        <f>(D649-D648)/D648</f>
        <v/>
      </c>
      <c r="G649" s="29">
        <f>E649-$H$27</f>
        <v/>
      </c>
      <c r="H649" s="29">
        <f>F649-$H$28</f>
        <v/>
      </c>
    </row>
    <row r="650" ht="15" customHeight="1">
      <c r="B650" s="26" t="n">
        <v>45104</v>
      </c>
      <c r="C650" s="27" t="n">
        <v>1319.57</v>
      </c>
      <c r="D650" s="27" t="n">
        <v>22183.73</v>
      </c>
      <c r="E650" s="28">
        <f>(C650-C649)/C649</f>
        <v/>
      </c>
      <c r="F650" s="28">
        <f>(D650-D649)/D649</f>
        <v/>
      </c>
      <c r="G650" s="29">
        <f>E650-$H$27</f>
        <v/>
      </c>
      <c r="H650" s="29">
        <f>F650-$H$28</f>
        <v/>
      </c>
    </row>
    <row r="651" ht="15" customHeight="1">
      <c r="B651" s="24" t="n">
        <v>45105</v>
      </c>
      <c r="C651" s="25" t="n">
        <v>1282.89</v>
      </c>
      <c r="D651" s="25" t="n">
        <v>22444.46</v>
      </c>
      <c r="E651" s="30">
        <f>(C651-C650)/C650</f>
        <v/>
      </c>
      <c r="F651" s="30">
        <f>(D651-D650)/D650</f>
        <v/>
      </c>
      <c r="G651" s="29">
        <f>E651-$H$27</f>
        <v/>
      </c>
      <c r="H651" s="29">
        <f>F651-$H$28</f>
        <v/>
      </c>
    </row>
    <row r="652" ht="15" customHeight="1">
      <c r="B652" s="26" t="n">
        <v>45106</v>
      </c>
      <c r="C652" s="27" t="n">
        <v>1287.1</v>
      </c>
      <c r="D652" s="27" t="n">
        <v>21966.74</v>
      </c>
      <c r="E652" s="28">
        <f>(C652-C651)/C651</f>
        <v/>
      </c>
      <c r="F652" s="28">
        <f>(D652-D651)/D651</f>
        <v/>
      </c>
      <c r="G652" s="29">
        <f>E652-$H$27</f>
        <v/>
      </c>
      <c r="H652" s="29">
        <f>F652-$H$28</f>
        <v/>
      </c>
    </row>
    <row r="653" ht="15" customHeight="1">
      <c r="B653" s="24" t="n">
        <v>45107</v>
      </c>
      <c r="C653" s="25" t="n">
        <v>1298.25</v>
      </c>
      <c r="D653" s="25" t="n">
        <v>22029.14</v>
      </c>
      <c r="E653" s="30">
        <f>(C653-C652)/C652</f>
        <v/>
      </c>
      <c r="F653" s="30">
        <f>(D653-D652)/D652</f>
        <v/>
      </c>
      <c r="G653" s="29">
        <f>E653-$H$27</f>
        <v/>
      </c>
      <c r="H653" s="29">
        <f>F653-$H$28</f>
        <v/>
      </c>
    </row>
    <row r="654" ht="15" customHeight="1">
      <c r="B654" s="26" t="n">
        <v>45110</v>
      </c>
      <c r="C654" s="27" t="n">
        <v>1327.95</v>
      </c>
      <c r="D654" s="27" t="n">
        <v>21965.89</v>
      </c>
      <c r="E654" s="28">
        <f>(C654-C653)/C653</f>
        <v/>
      </c>
      <c r="F654" s="28">
        <f>(D654-D653)/D653</f>
        <v/>
      </c>
      <c r="G654" s="29">
        <f>E654-$H$27</f>
        <v/>
      </c>
      <c r="H654" s="29">
        <f>F654-$H$28</f>
        <v/>
      </c>
    </row>
    <row r="655" ht="15" customHeight="1">
      <c r="B655" s="24" t="n">
        <v>45111</v>
      </c>
      <c r="C655" s="25" t="n">
        <v>1339.24</v>
      </c>
      <c r="D655" s="25" t="n">
        <v>21537.61</v>
      </c>
      <c r="E655" s="30">
        <f>(C655-C654)/C654</f>
        <v/>
      </c>
      <c r="F655" s="30">
        <f>(D655-D654)/D654</f>
        <v/>
      </c>
      <c r="G655" s="29">
        <f>E655-$H$27</f>
        <v/>
      </c>
      <c r="H655" s="29">
        <f>F655-$H$28</f>
        <v/>
      </c>
    </row>
    <row r="656" ht="15" customHeight="1">
      <c r="B656" s="26" t="n">
        <v>45112</v>
      </c>
      <c r="C656" s="27" t="n">
        <v>1374.52</v>
      </c>
      <c r="D656" s="27" t="n">
        <v>21731.37</v>
      </c>
      <c r="E656" s="28">
        <f>(C656-C655)/C655</f>
        <v/>
      </c>
      <c r="F656" s="28">
        <f>(D656-D655)/D655</f>
        <v/>
      </c>
      <c r="G656" s="29">
        <f>E656-$H$27</f>
        <v/>
      </c>
      <c r="H656" s="29">
        <f>F656-$H$28</f>
        <v/>
      </c>
    </row>
    <row r="657" ht="15" customHeight="1">
      <c r="B657" s="24" t="n">
        <v>45113</v>
      </c>
      <c r="C657" s="25" t="n">
        <v>1344.96</v>
      </c>
      <c r="D657" s="25" t="n">
        <v>21754.13</v>
      </c>
      <c r="E657" s="30">
        <f>(C657-C656)/C656</f>
        <v/>
      </c>
      <c r="F657" s="30">
        <f>(D657-D656)/D656</f>
        <v/>
      </c>
      <c r="G657" s="29">
        <f>E657-$H$27</f>
        <v/>
      </c>
      <c r="H657" s="29">
        <f>F657-$H$28</f>
        <v/>
      </c>
    </row>
    <row r="658" ht="15" customHeight="1">
      <c r="B658" s="26" t="n">
        <v>45114</v>
      </c>
      <c r="C658" s="27" t="n">
        <v>1344.86</v>
      </c>
      <c r="D658" s="27" t="n">
        <v>21956.04</v>
      </c>
      <c r="E658" s="28">
        <f>(C658-C657)/C657</f>
        <v/>
      </c>
      <c r="F658" s="28">
        <f>(D658-D657)/D657</f>
        <v/>
      </c>
      <c r="G658" s="29">
        <f>E658-$H$27</f>
        <v/>
      </c>
      <c r="H658" s="29">
        <f>F658-$H$28</f>
        <v/>
      </c>
    </row>
    <row r="659" ht="15" customHeight="1">
      <c r="B659" s="24" t="n">
        <v>45117</v>
      </c>
      <c r="C659" s="25" t="n">
        <v>1358.31</v>
      </c>
      <c r="D659" s="25" t="n">
        <v>21738.52</v>
      </c>
      <c r="E659" s="30">
        <f>(C659-C658)/C658</f>
        <v/>
      </c>
      <c r="F659" s="30">
        <f>(D659-D658)/D658</f>
        <v/>
      </c>
      <c r="G659" s="29">
        <f>E659-$H$27</f>
        <v/>
      </c>
      <c r="H659" s="29">
        <f>F659-$H$28</f>
        <v/>
      </c>
    </row>
    <row r="660" ht="15" customHeight="1">
      <c r="B660" s="26" t="n">
        <v>45118</v>
      </c>
      <c r="C660" s="27" t="n">
        <v>1395.62</v>
      </c>
      <c r="D660" s="27" t="n">
        <v>21751.88</v>
      </c>
      <c r="E660" s="28">
        <f>(C660-C659)/C659</f>
        <v/>
      </c>
      <c r="F660" s="28">
        <f>(D660-D659)/D659</f>
        <v/>
      </c>
      <c r="G660" s="29">
        <f>E660-$H$27</f>
        <v/>
      </c>
      <c r="H660" s="29">
        <f>F660-$H$28</f>
        <v/>
      </c>
    </row>
    <row r="661" ht="15" customHeight="1">
      <c r="B661" s="24" t="n">
        <v>45119</v>
      </c>
      <c r="C661" s="25" t="n">
        <v>1412.58</v>
      </c>
      <c r="D661" s="25" t="n">
        <v>21742.45</v>
      </c>
      <c r="E661" s="30">
        <f>(C661-C660)/C660</f>
        <v/>
      </c>
      <c r="F661" s="30">
        <f>(D661-D660)/D660</f>
        <v/>
      </c>
      <c r="G661" s="29">
        <f>E661-$H$27</f>
        <v/>
      </c>
      <c r="H661" s="29">
        <f>F661-$H$28</f>
        <v/>
      </c>
    </row>
    <row r="662" ht="15" customHeight="1">
      <c r="B662" s="26" t="n">
        <v>45120</v>
      </c>
      <c r="C662" s="27" t="n">
        <v>1401.31</v>
      </c>
      <c r="D662" s="27" t="n">
        <v>21885.49</v>
      </c>
      <c r="E662" s="28">
        <f>(C662-C661)/C661</f>
        <v/>
      </c>
      <c r="F662" s="28">
        <f>(D662-D661)/D661</f>
        <v/>
      </c>
      <c r="G662" s="29">
        <f>E662-$H$27</f>
        <v/>
      </c>
      <c r="H662" s="29">
        <f>F662-$H$28</f>
        <v/>
      </c>
    </row>
    <row r="663" ht="15" customHeight="1">
      <c r="B663" s="24" t="n">
        <v>45121</v>
      </c>
      <c r="C663" s="25" t="n">
        <v>1465.3</v>
      </c>
      <c r="D663" s="25" t="n">
        <v>21958.73</v>
      </c>
      <c r="E663" s="30">
        <f>(C663-C662)/C662</f>
        <v/>
      </c>
      <c r="F663" s="30">
        <f>(D663-D662)/D662</f>
        <v/>
      </c>
      <c r="G663" s="29">
        <f>E663-$H$27</f>
        <v/>
      </c>
      <c r="H663" s="29">
        <f>F663-$H$28</f>
        <v/>
      </c>
    </row>
    <row r="664" ht="15" customHeight="1">
      <c r="B664" s="26" t="n">
        <v>45124</v>
      </c>
      <c r="C664" s="27" t="n">
        <v>1474.69</v>
      </c>
      <c r="D664" s="27" t="n">
        <v>21791.82</v>
      </c>
      <c r="E664" s="28">
        <f>(C664-C663)/C663</f>
        <v/>
      </c>
      <c r="F664" s="28">
        <f>(D664-D663)/D663</f>
        <v/>
      </c>
      <c r="G664" s="29">
        <f>E664-$H$27</f>
        <v/>
      </c>
      <c r="H664" s="29">
        <f>F664-$H$28</f>
        <v/>
      </c>
    </row>
    <row r="665" ht="15" customHeight="1">
      <c r="B665" s="24" t="n">
        <v>45125</v>
      </c>
      <c r="C665" s="25" t="n">
        <v>1518.23</v>
      </c>
      <c r="D665" s="25" t="n">
        <v>21909.92</v>
      </c>
      <c r="E665" s="30">
        <f>(C665-C664)/C664</f>
        <v/>
      </c>
      <c r="F665" s="30">
        <f>(D665-D664)/D664</f>
        <v/>
      </c>
      <c r="G665" s="29">
        <f>E665-$H$27</f>
        <v/>
      </c>
      <c r="H665" s="29">
        <f>F665-$H$28</f>
        <v/>
      </c>
    </row>
    <row r="666" ht="15" customHeight="1">
      <c r="B666" s="26" t="n">
        <v>45126</v>
      </c>
      <c r="C666" s="27" t="n">
        <v>1491.91</v>
      </c>
      <c r="D666" s="27" t="n">
        <v>21903.69</v>
      </c>
      <c r="E666" s="28">
        <f>(C666-C665)/C665</f>
        <v/>
      </c>
      <c r="F666" s="28">
        <f>(D666-D665)/D665</f>
        <v/>
      </c>
      <c r="G666" s="29">
        <f>E666-$H$27</f>
        <v/>
      </c>
      <c r="H666" s="29">
        <f>F666-$H$28</f>
        <v/>
      </c>
    </row>
    <row r="667" ht="15" customHeight="1">
      <c r="B667" s="24" t="n">
        <v>45127</v>
      </c>
      <c r="C667" s="25" t="n">
        <v>1506.63</v>
      </c>
      <c r="D667" s="25" t="n">
        <v>22501.87</v>
      </c>
      <c r="E667" s="30">
        <f>(C667-C666)/C666</f>
        <v/>
      </c>
      <c r="F667" s="30">
        <f>(D667-D666)/D666</f>
        <v/>
      </c>
      <c r="G667" s="29">
        <f>E667-$H$27</f>
        <v/>
      </c>
      <c r="H667" s="29">
        <f>F667-$H$28</f>
        <v/>
      </c>
    </row>
    <row r="668" ht="15" customHeight="1">
      <c r="B668" s="26" t="n">
        <v>45128</v>
      </c>
      <c r="C668" s="27" t="n">
        <v>1442.91</v>
      </c>
      <c r="D668" s="27" t="n">
        <v>22762.48</v>
      </c>
      <c r="E668" s="28">
        <f>(C668-C667)/C667</f>
        <v/>
      </c>
      <c r="F668" s="28">
        <f>(D668-D667)/D667</f>
        <v/>
      </c>
      <c r="G668" s="29">
        <f>E668-$H$27</f>
        <v/>
      </c>
      <c r="H668" s="29">
        <f>F668-$H$28</f>
        <v/>
      </c>
    </row>
    <row r="669" ht="15" customHeight="1">
      <c r="B669" s="24" t="n">
        <v>45131</v>
      </c>
      <c r="C669" s="25" t="n">
        <v>1453.83</v>
      </c>
      <c r="D669" s="25" t="n">
        <v>22890.3</v>
      </c>
      <c r="E669" s="30">
        <f>(C669-C668)/C668</f>
        <v/>
      </c>
      <c r="F669" s="30">
        <f>(D669-D668)/D668</f>
        <v/>
      </c>
      <c r="G669" s="29">
        <f>E669-$H$27</f>
        <v/>
      </c>
      <c r="H669" s="29">
        <f>F669-$H$28</f>
        <v/>
      </c>
    </row>
    <row r="670" ht="15" customHeight="1">
      <c r="B670" s="26" t="n">
        <v>45132</v>
      </c>
      <c r="C670" s="27" t="n">
        <v>1442.51</v>
      </c>
      <c r="D670" s="27" t="n">
        <v>23332.48</v>
      </c>
      <c r="E670" s="28">
        <f>(C670-C669)/C669</f>
        <v/>
      </c>
      <c r="F670" s="28">
        <f>(D670-D669)/D669</f>
        <v/>
      </c>
      <c r="G670" s="29">
        <f>E670-$H$27</f>
        <v/>
      </c>
      <c r="H670" s="29">
        <f>F670-$H$28</f>
        <v/>
      </c>
    </row>
    <row r="671" ht="15" customHeight="1">
      <c r="B671" s="24" t="n">
        <v>45133</v>
      </c>
      <c r="C671" s="25" t="n">
        <v>1406.91</v>
      </c>
      <c r="D671" s="25" t="n">
        <v>23565.31</v>
      </c>
      <c r="E671" s="30">
        <f>(C671-C670)/C670</f>
        <v/>
      </c>
      <c r="F671" s="30">
        <f>(D671-D670)/D670</f>
        <v/>
      </c>
      <c r="G671" s="29">
        <f>E671-$H$27</f>
        <v/>
      </c>
      <c r="H671" s="29">
        <f>F671-$H$28</f>
        <v/>
      </c>
    </row>
    <row r="672" ht="15" customHeight="1">
      <c r="B672" s="26" t="n">
        <v>45134</v>
      </c>
      <c r="C672" s="27" t="n">
        <v>1355.47</v>
      </c>
      <c r="D672" s="27" t="n">
        <v>23746.68</v>
      </c>
      <c r="E672" s="28">
        <f>(C672-C671)/C671</f>
        <v/>
      </c>
      <c r="F672" s="28">
        <f>(D672-D671)/D671</f>
        <v/>
      </c>
      <c r="G672" s="29">
        <f>E672-$H$27</f>
        <v/>
      </c>
      <c r="H672" s="29">
        <f>F672-$H$28</f>
        <v/>
      </c>
    </row>
    <row r="673" ht="15" customHeight="1">
      <c r="B673" s="24" t="n">
        <v>45135</v>
      </c>
      <c r="C673" s="25" t="n">
        <v>1385.8</v>
      </c>
      <c r="D673" s="25" t="n">
        <v>23780.06</v>
      </c>
      <c r="E673" s="30">
        <f>(C673-C672)/C672</f>
        <v/>
      </c>
      <c r="F673" s="30">
        <f>(D673-D672)/D672</f>
        <v/>
      </c>
      <c r="G673" s="29">
        <f>E673-$H$27</f>
        <v/>
      </c>
      <c r="H673" s="29">
        <f>F673-$H$28</f>
        <v/>
      </c>
    </row>
    <row r="674" ht="15" customHeight="1">
      <c r="B674" s="26" t="n">
        <v>45138</v>
      </c>
      <c r="C674" s="27" t="n">
        <v>1359.14</v>
      </c>
      <c r="D674" s="27" t="n">
        <v>24028.86</v>
      </c>
      <c r="E674" s="28">
        <f>(C674-C673)/C673</f>
        <v/>
      </c>
      <c r="F674" s="28">
        <f>(D674-D673)/D673</f>
        <v/>
      </c>
      <c r="G674" s="29">
        <f>E674-$H$27</f>
        <v/>
      </c>
      <c r="H674" s="29">
        <f>F674-$H$28</f>
        <v/>
      </c>
    </row>
    <row r="675" ht="15" customHeight="1">
      <c r="B675" s="24" t="n">
        <v>45139</v>
      </c>
      <c r="C675" s="25" t="n">
        <v>1384.12</v>
      </c>
      <c r="D675" s="25" t="n">
        <v>24231.26</v>
      </c>
      <c r="E675" s="30">
        <f>(C675-C674)/C674</f>
        <v/>
      </c>
      <c r="F675" s="30">
        <f>(D675-D674)/D674</f>
        <v/>
      </c>
      <c r="G675" s="29">
        <f>E675-$H$27</f>
        <v/>
      </c>
      <c r="H675" s="29">
        <f>F675-$H$28</f>
        <v/>
      </c>
    </row>
    <row r="676" ht="15" customHeight="1">
      <c r="B676" s="26" t="n">
        <v>45140</v>
      </c>
      <c r="C676" s="27" t="n">
        <v>1413.61</v>
      </c>
      <c r="D676" s="27" t="n">
        <v>23820.83</v>
      </c>
      <c r="E676" s="28">
        <f>(C676-C675)/C675</f>
        <v/>
      </c>
      <c r="F676" s="28">
        <f>(D676-D675)/D675</f>
        <v/>
      </c>
      <c r="G676" s="29">
        <f>E676-$H$27</f>
        <v/>
      </c>
      <c r="H676" s="29">
        <f>F676-$H$28</f>
        <v/>
      </c>
    </row>
    <row r="677" ht="15" customHeight="1">
      <c r="B677" s="24" t="n">
        <v>45141</v>
      </c>
      <c r="C677" s="25" t="n">
        <v>1398.49</v>
      </c>
      <c r="D677" s="25" t="n">
        <v>23841.83</v>
      </c>
      <c r="E677" s="30">
        <f>(C677-C676)/C676</f>
        <v/>
      </c>
      <c r="F677" s="30">
        <f>(D677-D676)/D676</f>
        <v/>
      </c>
      <c r="G677" s="29">
        <f>E677-$H$27</f>
        <v/>
      </c>
      <c r="H677" s="29">
        <f>F677-$H$28</f>
        <v/>
      </c>
    </row>
    <row r="678" ht="15" customHeight="1">
      <c r="B678" s="26" t="n">
        <v>45142</v>
      </c>
      <c r="C678" s="27" t="n">
        <v>1392.93</v>
      </c>
      <c r="D678" s="27" t="n">
        <v>23490.04</v>
      </c>
      <c r="E678" s="28">
        <f>(C678-C677)/C677</f>
        <v/>
      </c>
      <c r="F678" s="28">
        <f>(D678-D677)/D677</f>
        <v/>
      </c>
      <c r="G678" s="29">
        <f>E678-$H$27</f>
        <v/>
      </c>
      <c r="H678" s="29">
        <f>F678-$H$28</f>
        <v/>
      </c>
    </row>
    <row r="679" ht="15" customHeight="1">
      <c r="B679" s="24" t="n">
        <v>45145</v>
      </c>
      <c r="C679" s="25" t="n">
        <v>1378.58</v>
      </c>
      <c r="D679" s="25" t="n">
        <v>23601.76</v>
      </c>
      <c r="E679" s="30">
        <f>(C679-C678)/C678</f>
        <v/>
      </c>
      <c r="F679" s="30">
        <f>(D679-D678)/D678</f>
        <v/>
      </c>
      <c r="G679" s="29">
        <f>E679-$H$27</f>
        <v/>
      </c>
      <c r="H679" s="29">
        <f>F679-$H$28</f>
        <v/>
      </c>
    </row>
    <row r="680" ht="15" customHeight="1">
      <c r="B680" s="26" t="n">
        <v>45146</v>
      </c>
      <c r="C680" s="27" t="n">
        <v>1358.19</v>
      </c>
      <c r="D680" s="27" t="n">
        <v>23752.01</v>
      </c>
      <c r="E680" s="28">
        <f>(C680-C679)/C679</f>
        <v/>
      </c>
      <c r="F680" s="28">
        <f>(D680-D679)/D679</f>
        <v/>
      </c>
      <c r="G680" s="29">
        <f>E680-$H$27</f>
        <v/>
      </c>
      <c r="H680" s="29">
        <f>F680-$H$28</f>
        <v/>
      </c>
    </row>
    <row r="681" ht="15" customHeight="1">
      <c r="B681" s="24" t="n">
        <v>45147</v>
      </c>
      <c r="C681" s="25" t="n">
        <v>1358.62</v>
      </c>
      <c r="D681" s="25" t="n">
        <v>23496.13</v>
      </c>
      <c r="E681" s="30">
        <f>(C681-C680)/C680</f>
        <v/>
      </c>
      <c r="F681" s="30">
        <f>(D681-D680)/D680</f>
        <v/>
      </c>
      <c r="G681" s="29">
        <f>E681-$H$27</f>
        <v/>
      </c>
      <c r="H681" s="29">
        <f>F681-$H$28</f>
        <v/>
      </c>
    </row>
    <row r="682" ht="15" customHeight="1">
      <c r="B682" s="26" t="n">
        <v>45148</v>
      </c>
      <c r="C682" s="27" t="n">
        <v>1350.19</v>
      </c>
      <c r="D682" s="27" t="n">
        <v>23511.43</v>
      </c>
      <c r="E682" s="28">
        <f>(C682-C681)/C681</f>
        <v/>
      </c>
      <c r="F682" s="28">
        <f>(D682-D681)/D681</f>
        <v/>
      </c>
      <c r="G682" s="29">
        <f>E682-$H$27</f>
        <v/>
      </c>
      <c r="H682" s="29">
        <f>F682-$H$28</f>
        <v/>
      </c>
    </row>
    <row r="683" ht="15" customHeight="1">
      <c r="B683" s="24" t="n">
        <v>45149</v>
      </c>
      <c r="C683" s="25" t="n">
        <v>1353.24</v>
      </c>
      <c r="D683" s="25" t="n">
        <v>23380.23</v>
      </c>
      <c r="E683" s="30">
        <f>(C683-C682)/C682</f>
        <v/>
      </c>
      <c r="F683" s="30">
        <f>(D683-D682)/D682</f>
        <v/>
      </c>
      <c r="G683" s="29">
        <f>E683-$H$27</f>
        <v/>
      </c>
      <c r="H683" s="29">
        <f>F683-$H$28</f>
        <v/>
      </c>
    </row>
    <row r="684" ht="15" customHeight="1">
      <c r="B684" s="26" t="n">
        <v>45152</v>
      </c>
      <c r="C684" s="27" t="n">
        <v>1343.6</v>
      </c>
      <c r="D684" s="27" t="n">
        <v>22935.35</v>
      </c>
      <c r="E684" s="28">
        <f>(C684-C683)/C683</f>
        <v/>
      </c>
      <c r="F684" s="28">
        <f>(D684-D683)/D683</f>
        <v/>
      </c>
      <c r="G684" s="29">
        <f>E684-$H$27</f>
        <v/>
      </c>
      <c r="H684" s="29">
        <f>F684-$H$28</f>
        <v/>
      </c>
    </row>
    <row r="685" ht="15" customHeight="1">
      <c r="B685" s="24" t="n">
        <v>45153</v>
      </c>
      <c r="C685" s="25" t="n">
        <v>1321.34</v>
      </c>
      <c r="D685" s="25" t="n">
        <v>23064.9</v>
      </c>
      <c r="E685" s="30">
        <f>(C685-C684)/C684</f>
        <v/>
      </c>
      <c r="F685" s="30">
        <f>(D685-D684)/D684</f>
        <v/>
      </c>
      <c r="G685" s="29">
        <f>E685-$H$27</f>
        <v/>
      </c>
      <c r="H685" s="29">
        <f>F685-$H$28</f>
        <v/>
      </c>
    </row>
    <row r="686" ht="15" customHeight="1">
      <c r="B686" s="26" t="n">
        <v>45154</v>
      </c>
      <c r="C686" s="27" t="n">
        <v>1352.23</v>
      </c>
      <c r="D686" s="27" t="n">
        <v>23098.63</v>
      </c>
      <c r="E686" s="28">
        <f>(C686-C685)/C685</f>
        <v/>
      </c>
      <c r="F686" s="28">
        <f>(D686-D685)/D685</f>
        <v/>
      </c>
      <c r="G686" s="29">
        <f>E686-$H$27</f>
        <v/>
      </c>
      <c r="H686" s="29">
        <f>F686-$H$28</f>
        <v/>
      </c>
    </row>
    <row r="687" ht="15" customHeight="1">
      <c r="B687" s="24" t="n">
        <v>45155</v>
      </c>
      <c r="C687" s="25" t="n">
        <v>1327.1</v>
      </c>
      <c r="D687" s="25" t="n">
        <v>23087.62</v>
      </c>
      <c r="E687" s="30">
        <f>(C687-C686)/C686</f>
        <v/>
      </c>
      <c r="F687" s="30">
        <f>(D687-D686)/D686</f>
        <v/>
      </c>
      <c r="G687" s="29">
        <f>E687-$H$27</f>
        <v/>
      </c>
      <c r="H687" s="29">
        <f>F687-$H$28</f>
        <v/>
      </c>
    </row>
    <row r="688" ht="15" customHeight="1">
      <c r="B688" s="26" t="n">
        <v>45156</v>
      </c>
      <c r="C688" s="27" t="n">
        <v>1348.64</v>
      </c>
      <c r="D688" s="27" t="n">
        <v>23205.43</v>
      </c>
      <c r="E688" s="28">
        <f>(C688-C687)/C687</f>
        <v/>
      </c>
      <c r="F688" s="28">
        <f>(D688-D687)/D687</f>
        <v/>
      </c>
      <c r="G688" s="29">
        <f>E688-$H$27</f>
        <v/>
      </c>
      <c r="H688" s="29">
        <f>F688-$H$28</f>
        <v/>
      </c>
    </row>
    <row r="689" ht="15" customHeight="1">
      <c r="B689" s="24" t="n">
        <v>45159</v>
      </c>
      <c r="C689" s="25" t="n">
        <v>1351.58</v>
      </c>
      <c r="D689" s="25" t="n">
        <v>23183.36</v>
      </c>
      <c r="E689" s="30">
        <f>(C689-C688)/C688</f>
        <v/>
      </c>
      <c r="F689" s="30">
        <f>(D689-D688)/D688</f>
        <v/>
      </c>
      <c r="G689" s="29">
        <f>E689-$H$27</f>
        <v/>
      </c>
      <c r="H689" s="29">
        <f>F689-$H$28</f>
        <v/>
      </c>
    </row>
    <row r="690" ht="15" customHeight="1">
      <c r="B690" s="26" t="n">
        <v>45160</v>
      </c>
      <c r="C690" s="27" t="n">
        <v>1358.23</v>
      </c>
      <c r="D690" s="27" t="n">
        <v>23310.98</v>
      </c>
      <c r="E690" s="28">
        <f>(C690-C689)/C689</f>
        <v/>
      </c>
      <c r="F690" s="28">
        <f>(D690-D689)/D689</f>
        <v/>
      </c>
      <c r="G690" s="29">
        <f>E690-$H$27</f>
        <v/>
      </c>
      <c r="H690" s="29">
        <f>F690-$H$28</f>
        <v/>
      </c>
    </row>
    <row r="691" ht="15" customHeight="1">
      <c r="B691" s="24" t="n">
        <v>45161</v>
      </c>
      <c r="C691" s="25" t="n">
        <v>1357.03</v>
      </c>
      <c r="D691" s="25" t="n">
        <v>23588.88</v>
      </c>
      <c r="E691" s="30">
        <f>(C691-C690)/C690</f>
        <v/>
      </c>
      <c r="F691" s="30">
        <f>(D691-D690)/D690</f>
        <v/>
      </c>
      <c r="G691" s="29">
        <f>E691-$H$27</f>
        <v/>
      </c>
      <c r="H691" s="29">
        <f>F691-$H$28</f>
        <v/>
      </c>
    </row>
    <row r="692" ht="15" customHeight="1">
      <c r="B692" s="26" t="n">
        <v>45162</v>
      </c>
      <c r="C692" s="27" t="n">
        <v>1362.46</v>
      </c>
      <c r="D692" s="27" t="n">
        <v>23441.08</v>
      </c>
      <c r="E692" s="28">
        <f>(C692-C691)/C691</f>
        <v/>
      </c>
      <c r="F692" s="28">
        <f>(D692-D691)/D691</f>
        <v/>
      </c>
      <c r="G692" s="29">
        <f>E692-$H$27</f>
        <v/>
      </c>
      <c r="H692" s="29">
        <f>F692-$H$28</f>
        <v/>
      </c>
    </row>
    <row r="693" ht="15" customHeight="1">
      <c r="B693" s="24" t="n">
        <v>45163</v>
      </c>
      <c r="C693" s="25" t="n">
        <v>1373.48</v>
      </c>
      <c r="D693" s="25" t="n">
        <v>23491.87</v>
      </c>
      <c r="E693" s="30">
        <f>(C693-C692)/C692</f>
        <v/>
      </c>
      <c r="F693" s="30">
        <f>(D693-D692)/D692</f>
        <v/>
      </c>
      <c r="G693" s="29">
        <f>E693-$H$27</f>
        <v/>
      </c>
      <c r="H693" s="29">
        <f>F693-$H$28</f>
        <v/>
      </c>
    </row>
    <row r="694" ht="15" customHeight="1">
      <c r="B694" s="26" t="n">
        <v>45166</v>
      </c>
      <c r="C694" s="27" t="n">
        <v>1395.42</v>
      </c>
      <c r="D694" s="27" t="n">
        <v>23618.95</v>
      </c>
      <c r="E694" s="28">
        <f>(C694-C693)/C693</f>
        <v/>
      </c>
      <c r="F694" s="28">
        <f>(D694-D693)/D693</f>
        <v/>
      </c>
      <c r="G694" s="29">
        <f>E694-$H$27</f>
        <v/>
      </c>
      <c r="H694" s="29">
        <f>F694-$H$28</f>
        <v/>
      </c>
    </row>
    <row r="695" ht="15" customHeight="1">
      <c r="B695" s="24" t="n">
        <v>45167</v>
      </c>
      <c r="C695" s="25" t="n">
        <v>1387.45</v>
      </c>
      <c r="D695" s="25" t="n">
        <v>23821.91</v>
      </c>
      <c r="E695" s="30">
        <f>(C695-C694)/C694</f>
        <v/>
      </c>
      <c r="F695" s="30">
        <f>(D695-D694)/D694</f>
        <v/>
      </c>
      <c r="G695" s="29">
        <f>E695-$H$27</f>
        <v/>
      </c>
      <c r="H695" s="29">
        <f>F695-$H$28</f>
        <v/>
      </c>
    </row>
    <row r="696" ht="15" customHeight="1">
      <c r="B696" s="26" t="n">
        <v>45168</v>
      </c>
      <c r="C696" s="27" t="n">
        <v>1375.59</v>
      </c>
      <c r="D696" s="27" t="n">
        <v>23811.04</v>
      </c>
      <c r="E696" s="28">
        <f>(C696-C695)/C695</f>
        <v/>
      </c>
      <c r="F696" s="28">
        <f>(D696-D695)/D695</f>
        <v/>
      </c>
      <c r="G696" s="29">
        <f>E696-$H$27</f>
        <v/>
      </c>
      <c r="H696" s="29">
        <f>F696-$H$28</f>
        <v/>
      </c>
    </row>
    <row r="697" ht="15" customHeight="1">
      <c r="B697" s="24" t="n">
        <v>45169</v>
      </c>
      <c r="C697" s="25" t="n">
        <v>1351.6</v>
      </c>
      <c r="D697" s="25" t="n">
        <v>24090.44</v>
      </c>
      <c r="E697" s="30">
        <f>(C697-C696)/C696</f>
        <v/>
      </c>
      <c r="F697" s="30">
        <f>(D697-D696)/D696</f>
        <v/>
      </c>
      <c r="G697" s="29">
        <f>E697-$H$27</f>
        <v/>
      </c>
      <c r="H697" s="29">
        <f>F697-$H$28</f>
        <v/>
      </c>
    </row>
    <row r="698" ht="15" customHeight="1">
      <c r="B698" s="26" t="n">
        <v>45170</v>
      </c>
      <c r="C698" s="27" t="n">
        <v>1398.45</v>
      </c>
      <c r="D698" s="27" t="n">
        <v>24152.2</v>
      </c>
      <c r="E698" s="28">
        <f>(C698-C697)/C697</f>
        <v/>
      </c>
      <c r="F698" s="28">
        <f>(D698-D697)/D697</f>
        <v/>
      </c>
      <c r="G698" s="29">
        <f>E698-$H$27</f>
        <v/>
      </c>
      <c r="H698" s="29">
        <f>F698-$H$28</f>
        <v/>
      </c>
    </row>
    <row r="699" ht="15" customHeight="1">
      <c r="B699" s="24" t="n">
        <v>45173</v>
      </c>
      <c r="C699" s="25" t="n">
        <v>1408.86</v>
      </c>
      <c r="D699" s="25" t="n">
        <v>24430.63</v>
      </c>
      <c r="E699" s="30">
        <f>(C699-C698)/C698</f>
        <v/>
      </c>
      <c r="F699" s="30">
        <f>(D699-D698)/D698</f>
        <v/>
      </c>
      <c r="G699" s="29">
        <f>E699-$H$27</f>
        <v/>
      </c>
      <c r="H699" s="29">
        <f>F699-$H$28</f>
        <v/>
      </c>
    </row>
    <row r="700" ht="15" customHeight="1">
      <c r="B700" s="26" t="n">
        <v>45174</v>
      </c>
      <c r="C700" s="27" t="n">
        <v>1398.71</v>
      </c>
      <c r="D700" s="27" t="n">
        <v>24568.32</v>
      </c>
      <c r="E700" s="28">
        <f>(C700-C699)/C699</f>
        <v/>
      </c>
      <c r="F700" s="28">
        <f>(D700-D699)/D699</f>
        <v/>
      </c>
      <c r="G700" s="29">
        <f>E700-$H$27</f>
        <v/>
      </c>
      <c r="H700" s="29">
        <f>F700-$H$28</f>
        <v/>
      </c>
    </row>
    <row r="701" ht="15" customHeight="1">
      <c r="B701" s="24" t="n">
        <v>45175</v>
      </c>
      <c r="C701" s="25" t="n">
        <v>1381.31</v>
      </c>
      <c r="D701" s="25" t="n">
        <v>24755.73</v>
      </c>
      <c r="E701" s="30">
        <f>(C701-C700)/C700</f>
        <v/>
      </c>
      <c r="F701" s="30">
        <f>(D701-D700)/D700</f>
        <v/>
      </c>
      <c r="G701" s="29">
        <f>E701-$H$27</f>
        <v/>
      </c>
      <c r="H701" s="29">
        <f>F701-$H$28</f>
        <v/>
      </c>
    </row>
    <row r="702" ht="15" customHeight="1">
      <c r="B702" s="26" t="n">
        <v>45176</v>
      </c>
      <c r="C702" s="27" t="n">
        <v>1379.02</v>
      </c>
      <c r="D702" s="27" t="n">
        <v>24672.77</v>
      </c>
      <c r="E702" s="28">
        <f>(C702-C701)/C701</f>
        <v/>
      </c>
      <c r="F702" s="28">
        <f>(D702-D701)/D701</f>
        <v/>
      </c>
      <c r="G702" s="29">
        <f>E702-$H$27</f>
        <v/>
      </c>
      <c r="H702" s="29">
        <f>F702-$H$28</f>
        <v/>
      </c>
    </row>
    <row r="703" ht="15" customHeight="1">
      <c r="B703" s="24" t="n">
        <v>45177</v>
      </c>
      <c r="C703" s="25" t="n">
        <v>1379.59</v>
      </c>
      <c r="D703" s="25" t="n">
        <v>24228.35</v>
      </c>
      <c r="E703" s="30">
        <f>(C703-C702)/C702</f>
        <v/>
      </c>
      <c r="F703" s="30">
        <f>(D703-D702)/D702</f>
        <v/>
      </c>
      <c r="G703" s="29">
        <f>E703-$H$27</f>
        <v/>
      </c>
      <c r="H703" s="29">
        <f>F703-$H$28</f>
        <v/>
      </c>
    </row>
    <row r="704" ht="15" customHeight="1">
      <c r="B704" s="26" t="n">
        <v>45180</v>
      </c>
      <c r="C704" s="27" t="n">
        <v>1336.19</v>
      </c>
      <c r="D704" s="27" t="n">
        <v>24484.24</v>
      </c>
      <c r="E704" s="28">
        <f>(C704-C703)/C703</f>
        <v/>
      </c>
      <c r="F704" s="28">
        <f>(D704-D703)/D703</f>
        <v/>
      </c>
      <c r="G704" s="29">
        <f>E704-$H$27</f>
        <v/>
      </c>
      <c r="H704" s="29">
        <f>F704-$H$28</f>
        <v/>
      </c>
    </row>
    <row r="705" ht="15" customHeight="1">
      <c r="B705" s="24" t="n">
        <v>45181</v>
      </c>
      <c r="C705" s="25" t="n">
        <v>1332.21</v>
      </c>
      <c r="D705" s="25" t="n">
        <v>24300.2</v>
      </c>
      <c r="E705" s="30">
        <f>(C705-C704)/C704</f>
        <v/>
      </c>
      <c r="F705" s="30">
        <f>(D705-D704)/D704</f>
        <v/>
      </c>
      <c r="G705" s="29">
        <f>E705-$H$27</f>
        <v/>
      </c>
      <c r="H705" s="29">
        <f>F705-$H$28</f>
        <v/>
      </c>
    </row>
    <row r="706" ht="15" customHeight="1">
      <c r="B706" s="26" t="n">
        <v>45182</v>
      </c>
      <c r="C706" s="27" t="n">
        <v>1337.79</v>
      </c>
      <c r="D706" s="27" t="n">
        <v>24178.42</v>
      </c>
      <c r="E706" s="28">
        <f>(C706-C705)/C705</f>
        <v/>
      </c>
      <c r="F706" s="28">
        <f>(D706-D705)/D705</f>
        <v/>
      </c>
      <c r="G706" s="29">
        <f>E706-$H$27</f>
        <v/>
      </c>
      <c r="H706" s="29">
        <f>F706-$H$28</f>
        <v/>
      </c>
    </row>
    <row r="707" ht="15" customHeight="1">
      <c r="B707" s="24" t="n">
        <v>45183</v>
      </c>
      <c r="C707" s="25" t="n">
        <v>1294.91</v>
      </c>
      <c r="D707" s="25" t="n">
        <v>24024.8</v>
      </c>
      <c r="E707" s="30">
        <f>(C707-C706)/C706</f>
        <v/>
      </c>
      <c r="F707" s="30">
        <f>(D707-D706)/D706</f>
        <v/>
      </c>
      <c r="G707" s="29">
        <f>E707-$H$27</f>
        <v/>
      </c>
      <c r="H707" s="29">
        <f>F707-$H$28</f>
        <v/>
      </c>
    </row>
    <row r="708" ht="15" customHeight="1">
      <c r="B708" s="26" t="n">
        <v>45184</v>
      </c>
      <c r="C708" s="27" t="n">
        <v>1324.34</v>
      </c>
      <c r="D708" s="27" t="n">
        <v>23952.99</v>
      </c>
      <c r="E708" s="28">
        <f>(C708-C707)/C707</f>
        <v/>
      </c>
      <c r="F708" s="28">
        <f>(D708-D707)/D707</f>
        <v/>
      </c>
      <c r="G708" s="29">
        <f>E708-$H$27</f>
        <v/>
      </c>
      <c r="H708" s="29">
        <f>F708-$H$28</f>
        <v/>
      </c>
    </row>
    <row r="709" ht="15" customHeight="1">
      <c r="B709" s="24" t="n">
        <v>45187</v>
      </c>
      <c r="C709" s="25" t="n">
        <v>1328.23</v>
      </c>
      <c r="D709" s="25" t="n">
        <v>24241.91</v>
      </c>
      <c r="E709" s="30">
        <f>(C709-C708)/C708</f>
        <v/>
      </c>
      <c r="F709" s="30">
        <f>(D709-D708)/D708</f>
        <v/>
      </c>
      <c r="G709" s="29">
        <f>E709-$H$27</f>
        <v/>
      </c>
      <c r="H709" s="29">
        <f>F709-$H$28</f>
        <v/>
      </c>
    </row>
    <row r="710" ht="15" customHeight="1">
      <c r="B710" s="26" t="n">
        <v>45188</v>
      </c>
      <c r="C710" s="27" t="n">
        <v>1346.66</v>
      </c>
      <c r="D710" s="27" t="n">
        <v>24275.83</v>
      </c>
      <c r="E710" s="28">
        <f>(C710-C709)/C709</f>
        <v/>
      </c>
      <c r="F710" s="28">
        <f>(D710-D709)/D709</f>
        <v/>
      </c>
      <c r="G710" s="29">
        <f>E710-$H$27</f>
        <v/>
      </c>
      <c r="H710" s="29">
        <f>F710-$H$28</f>
        <v/>
      </c>
    </row>
    <row r="711" ht="15" customHeight="1">
      <c r="B711" s="24" t="n">
        <v>45189</v>
      </c>
      <c r="C711" s="25" t="n">
        <v>1348.32</v>
      </c>
      <c r="D711" s="25" t="n">
        <v>24345.3</v>
      </c>
      <c r="E711" s="30">
        <f>(C711-C710)/C710</f>
        <v/>
      </c>
      <c r="F711" s="30">
        <f>(D711-D710)/D710</f>
        <v/>
      </c>
      <c r="G711" s="29">
        <f>E711-$H$27</f>
        <v/>
      </c>
      <c r="H711" s="29">
        <f>F711-$H$28</f>
        <v/>
      </c>
    </row>
    <row r="712" ht="15" customHeight="1">
      <c r="B712" s="26" t="n">
        <v>45190</v>
      </c>
      <c r="C712" s="27" t="n">
        <v>1389.67</v>
      </c>
      <c r="D712" s="27" t="n">
        <v>24404.67</v>
      </c>
      <c r="E712" s="28">
        <f>(C712-C711)/C711</f>
        <v/>
      </c>
      <c r="F712" s="28">
        <f>(D712-D711)/D711</f>
        <v/>
      </c>
      <c r="G712" s="29">
        <f>E712-$H$27</f>
        <v/>
      </c>
      <c r="H712" s="29">
        <f>F712-$H$28</f>
        <v/>
      </c>
    </row>
    <row r="713" ht="15" customHeight="1">
      <c r="B713" s="24" t="n">
        <v>45191</v>
      </c>
      <c r="C713" s="25" t="n">
        <v>1409.69</v>
      </c>
      <c r="D713" s="25" t="n">
        <v>23908.47</v>
      </c>
      <c r="E713" s="30">
        <f>(C713-C712)/C712</f>
        <v/>
      </c>
      <c r="F713" s="30">
        <f>(D713-D712)/D712</f>
        <v/>
      </c>
      <c r="G713" s="29">
        <f>E713-$H$27</f>
        <v/>
      </c>
      <c r="H713" s="29">
        <f>F713-$H$28</f>
        <v/>
      </c>
    </row>
    <row r="714" ht="15" customHeight="1">
      <c r="B714" s="26" t="n">
        <v>45194</v>
      </c>
      <c r="C714" s="27" t="n">
        <v>1425.41</v>
      </c>
      <c r="D714" s="27" t="n">
        <v>23890.85</v>
      </c>
      <c r="E714" s="28">
        <f>(C714-C713)/C713</f>
        <v/>
      </c>
      <c r="F714" s="28">
        <f>(D714-D713)/D713</f>
        <v/>
      </c>
      <c r="G714" s="29">
        <f>E714-$H$27</f>
        <v/>
      </c>
      <c r="H714" s="29">
        <f>F714-$H$28</f>
        <v/>
      </c>
    </row>
    <row r="715" ht="15" customHeight="1">
      <c r="B715" s="24" t="n">
        <v>45195</v>
      </c>
      <c r="C715" s="25" t="n">
        <v>1417.71</v>
      </c>
      <c r="D715" s="25" t="n">
        <v>24341.39</v>
      </c>
      <c r="E715" s="30">
        <f>(C715-C714)/C714</f>
        <v/>
      </c>
      <c r="F715" s="30">
        <f>(D715-D714)/D714</f>
        <v/>
      </c>
      <c r="G715" s="29">
        <f>E715-$H$27</f>
        <v/>
      </c>
      <c r="H715" s="29">
        <f>F715-$H$28</f>
        <v/>
      </c>
    </row>
    <row r="716" ht="15" customHeight="1">
      <c r="B716" s="26" t="n">
        <v>45196</v>
      </c>
      <c r="C716" s="27" t="n">
        <v>1453.9</v>
      </c>
      <c r="D716" s="27" t="n">
        <v>24066.37</v>
      </c>
      <c r="E716" s="28">
        <f>(C716-C715)/C715</f>
        <v/>
      </c>
      <c r="F716" s="28">
        <f>(D716-D715)/D715</f>
        <v/>
      </c>
      <c r="G716" s="29">
        <f>E716-$H$27</f>
        <v/>
      </c>
      <c r="H716" s="29">
        <f>F716-$H$28</f>
        <v/>
      </c>
    </row>
    <row r="717" ht="15" customHeight="1">
      <c r="B717" s="24" t="n">
        <v>45197</v>
      </c>
      <c r="C717" s="25" t="n">
        <v>1452.41</v>
      </c>
      <c r="D717" s="25" t="n">
        <v>24067.78</v>
      </c>
      <c r="E717" s="30">
        <f>(C717-C716)/C716</f>
        <v/>
      </c>
      <c r="F717" s="30">
        <f>(D717-D716)/D716</f>
        <v/>
      </c>
      <c r="G717" s="29">
        <f>E717-$H$27</f>
        <v/>
      </c>
      <c r="H717" s="29">
        <f>F717-$H$28</f>
        <v/>
      </c>
    </row>
    <row r="718" ht="15" customHeight="1">
      <c r="B718" s="26" t="n">
        <v>45198</v>
      </c>
      <c r="C718" s="27" t="n">
        <v>1429.25</v>
      </c>
      <c r="D718" s="27" t="n">
        <v>23793.58</v>
      </c>
      <c r="E718" s="28">
        <f>(C718-C717)/C717</f>
        <v/>
      </c>
      <c r="F718" s="28">
        <f>(D718-D717)/D717</f>
        <v/>
      </c>
      <c r="G718" s="29">
        <f>E718-$H$27</f>
        <v/>
      </c>
      <c r="H718" s="29">
        <f>F718-$H$28</f>
        <v/>
      </c>
    </row>
    <row r="719" ht="15" customHeight="1">
      <c r="B719" s="24" t="n">
        <v>45201</v>
      </c>
      <c r="C719" s="25" t="n">
        <v>1458.85</v>
      </c>
      <c r="D719" s="25" t="n">
        <v>23782.78</v>
      </c>
      <c r="E719" s="30">
        <f>(C719-C718)/C718</f>
        <v/>
      </c>
      <c r="F719" s="30">
        <f>(D719-D718)/D718</f>
        <v/>
      </c>
      <c r="G719" s="29">
        <f>E719-$H$27</f>
        <v/>
      </c>
      <c r="H719" s="29">
        <f>F719-$H$28</f>
        <v/>
      </c>
    </row>
    <row r="720" ht="15" customHeight="1">
      <c r="B720" s="26" t="n">
        <v>45202</v>
      </c>
      <c r="C720" s="27" t="n">
        <v>1433.56</v>
      </c>
      <c r="D720" s="27" t="n">
        <v>23845.86</v>
      </c>
      <c r="E720" s="28">
        <f>(C720-C719)/C719</f>
        <v/>
      </c>
      <c r="F720" s="28">
        <f>(D720-D719)/D719</f>
        <v/>
      </c>
      <c r="G720" s="29">
        <f>E720-$H$27</f>
        <v/>
      </c>
      <c r="H720" s="29">
        <f>F720-$H$28</f>
        <v/>
      </c>
    </row>
    <row r="721" ht="15" customHeight="1">
      <c r="B721" s="24" t="n">
        <v>45203</v>
      </c>
      <c r="C721" s="25" t="n">
        <v>1455.12</v>
      </c>
      <c r="D721" s="25" t="n">
        <v>23879.74</v>
      </c>
      <c r="E721" s="30">
        <f>(C721-C720)/C720</f>
        <v/>
      </c>
      <c r="F721" s="30">
        <f>(D721-D720)/D720</f>
        <v/>
      </c>
      <c r="G721" s="29">
        <f>E721-$H$27</f>
        <v/>
      </c>
      <c r="H721" s="29">
        <f>F721-$H$28</f>
        <v/>
      </c>
    </row>
    <row r="722" ht="15" customHeight="1">
      <c r="B722" s="26" t="n">
        <v>45204</v>
      </c>
      <c r="C722" s="27" t="n">
        <v>1467.45</v>
      </c>
      <c r="D722" s="27" t="n">
        <v>24273.47</v>
      </c>
      <c r="E722" s="28">
        <f>(C722-C721)/C721</f>
        <v/>
      </c>
      <c r="F722" s="28">
        <f>(D722-D721)/D721</f>
        <v/>
      </c>
      <c r="G722" s="29">
        <f>E722-$H$27</f>
        <v/>
      </c>
      <c r="H722" s="29">
        <f>F722-$H$28</f>
        <v/>
      </c>
    </row>
    <row r="723" ht="15" customHeight="1">
      <c r="B723" s="24" t="n">
        <v>45205</v>
      </c>
      <c r="C723" s="25" t="n">
        <v>1470.13</v>
      </c>
      <c r="D723" s="25" t="n">
        <v>24636.25</v>
      </c>
      <c r="E723" s="30">
        <f>(C723-C722)/C722</f>
        <v/>
      </c>
      <c r="F723" s="30">
        <f>(D723-D722)/D722</f>
        <v/>
      </c>
      <c r="G723" s="29">
        <f>E723-$H$27</f>
        <v/>
      </c>
      <c r="H723" s="29">
        <f>F723-$H$28</f>
        <v/>
      </c>
    </row>
    <row r="724" ht="15" customHeight="1">
      <c r="B724" s="26" t="n">
        <v>45208</v>
      </c>
      <c r="C724" s="27" t="n">
        <v>1421.12</v>
      </c>
      <c r="D724" s="27" t="n">
        <v>24637.85</v>
      </c>
      <c r="E724" s="28">
        <f>(C724-C723)/C723</f>
        <v/>
      </c>
      <c r="F724" s="28">
        <f>(D724-D723)/D723</f>
        <v/>
      </c>
      <c r="G724" s="29">
        <f>E724-$H$27</f>
        <v/>
      </c>
      <c r="H724" s="29">
        <f>F724-$H$28</f>
        <v/>
      </c>
    </row>
    <row r="725" ht="15" customHeight="1">
      <c r="B725" s="24" t="n">
        <v>45209</v>
      </c>
      <c r="C725" s="25" t="n">
        <v>1431.72</v>
      </c>
      <c r="D725" s="25" t="n">
        <v>24467.29</v>
      </c>
      <c r="E725" s="30">
        <f>(C725-C724)/C724</f>
        <v/>
      </c>
      <c r="F725" s="30">
        <f>(D725-D724)/D724</f>
        <v/>
      </c>
      <c r="G725" s="29">
        <f>E725-$H$27</f>
        <v/>
      </c>
      <c r="H725" s="29">
        <f>F725-$H$28</f>
        <v/>
      </c>
    </row>
    <row r="726" ht="15" customHeight="1">
      <c r="B726" s="26" t="n">
        <v>45210</v>
      </c>
      <c r="C726" s="27" t="n">
        <v>1417.46</v>
      </c>
      <c r="D726" s="27" t="n">
        <v>24274.95</v>
      </c>
      <c r="E726" s="28">
        <f>(C726-C725)/C725</f>
        <v/>
      </c>
      <c r="F726" s="28">
        <f>(D726-D725)/D725</f>
        <v/>
      </c>
      <c r="G726" s="29">
        <f>E726-$H$27</f>
        <v/>
      </c>
      <c r="H726" s="29">
        <f>F726-$H$28</f>
        <v/>
      </c>
    </row>
    <row r="727" ht="15" customHeight="1">
      <c r="B727" s="24" t="n">
        <v>45211</v>
      </c>
      <c r="C727" s="25" t="n">
        <v>1397.18</v>
      </c>
      <c r="D727" s="25" t="n">
        <v>24750.32</v>
      </c>
      <c r="E727" s="30">
        <f>(C727-C726)/C726</f>
        <v/>
      </c>
      <c r="F727" s="30">
        <f>(D727-D726)/D726</f>
        <v/>
      </c>
      <c r="G727" s="29">
        <f>E727-$H$27</f>
        <v/>
      </c>
      <c r="H727" s="29">
        <f>F727-$H$28</f>
        <v/>
      </c>
    </row>
    <row r="728" ht="15" customHeight="1">
      <c r="B728" s="26" t="n">
        <v>45212</v>
      </c>
      <c r="C728" s="27" t="n">
        <v>1397.04</v>
      </c>
      <c r="D728" s="27" t="n">
        <v>24616.24</v>
      </c>
      <c r="E728" s="28">
        <f>(C728-C727)/C727</f>
        <v/>
      </c>
      <c r="F728" s="28">
        <f>(D728-D727)/D727</f>
        <v/>
      </c>
      <c r="G728" s="29">
        <f>E728-$H$27</f>
        <v/>
      </c>
      <c r="H728" s="29">
        <f>F728-$H$28</f>
        <v/>
      </c>
    </row>
    <row r="729" ht="15" customHeight="1">
      <c r="B729" s="24" t="n">
        <v>45215</v>
      </c>
      <c r="C729" s="25" t="n">
        <v>1352.23</v>
      </c>
      <c r="D729" s="25" t="n">
        <v>24242.26</v>
      </c>
      <c r="E729" s="30">
        <f>(C729-C728)/C728</f>
        <v/>
      </c>
      <c r="F729" s="30">
        <f>(D729-D728)/D728</f>
        <v/>
      </c>
      <c r="G729" s="29">
        <f>E729-$H$27</f>
        <v/>
      </c>
      <c r="H729" s="29">
        <f>F729-$H$28</f>
        <v/>
      </c>
    </row>
    <row r="730" ht="15" customHeight="1">
      <c r="B730" s="26" t="n">
        <v>45216</v>
      </c>
      <c r="C730" s="27" t="n">
        <v>1328.58</v>
      </c>
      <c r="D730" s="27" t="n">
        <v>24349.07</v>
      </c>
      <c r="E730" s="28">
        <f>(C730-C729)/C729</f>
        <v/>
      </c>
      <c r="F730" s="28">
        <f>(D730-D729)/D729</f>
        <v/>
      </c>
      <c r="G730" s="29">
        <f>E730-$H$27</f>
        <v/>
      </c>
      <c r="H730" s="29">
        <f>F730-$H$28</f>
        <v/>
      </c>
    </row>
    <row r="731" ht="15" customHeight="1">
      <c r="B731" s="24" t="n">
        <v>45217</v>
      </c>
      <c r="C731" s="25" t="n">
        <v>1339.17</v>
      </c>
      <c r="D731" s="25" t="n">
        <v>24047.08</v>
      </c>
      <c r="E731" s="30">
        <f>(C731-C730)/C730</f>
        <v/>
      </c>
      <c r="F731" s="30">
        <f>(D731-D730)/D730</f>
        <v/>
      </c>
      <c r="G731" s="29">
        <f>E731-$H$27</f>
        <v/>
      </c>
      <c r="H731" s="29">
        <f>F731-$H$28</f>
        <v/>
      </c>
    </row>
    <row r="732" ht="15" customHeight="1">
      <c r="B732" s="26" t="n">
        <v>45218</v>
      </c>
      <c r="C732" s="27" t="n">
        <v>1360.82</v>
      </c>
      <c r="D732" s="27" t="n">
        <v>24220.7</v>
      </c>
      <c r="E732" s="28">
        <f>(C732-C731)/C731</f>
        <v/>
      </c>
      <c r="F732" s="28">
        <f>(D732-D731)/D731</f>
        <v/>
      </c>
      <c r="G732" s="29">
        <f>E732-$H$27</f>
        <v/>
      </c>
      <c r="H732" s="29">
        <f>F732-$H$28</f>
        <v/>
      </c>
    </row>
    <row r="733" ht="15" customHeight="1">
      <c r="B733" s="24" t="n">
        <v>45219</v>
      </c>
      <c r="C733" s="25" t="n">
        <v>1371.3</v>
      </c>
      <c r="D733" s="25" t="n">
        <v>24374.52</v>
      </c>
      <c r="E733" s="30">
        <f>(C733-C732)/C732</f>
        <v/>
      </c>
      <c r="F733" s="30">
        <f>(D733-D732)/D732</f>
        <v/>
      </c>
      <c r="G733" s="29">
        <f>E733-$H$27</f>
        <v/>
      </c>
      <c r="H733" s="29">
        <f>F733-$H$28</f>
        <v/>
      </c>
    </row>
    <row r="734" ht="15" customHeight="1">
      <c r="B734" s="26" t="n">
        <v>45222</v>
      </c>
      <c r="C734" s="27" t="n">
        <v>1367.86</v>
      </c>
      <c r="D734" s="27" t="n">
        <v>24202.86</v>
      </c>
      <c r="E734" s="28">
        <f>(C734-C733)/C733</f>
        <v/>
      </c>
      <c r="F734" s="28">
        <f>(D734-D733)/D733</f>
        <v/>
      </c>
      <c r="G734" s="29">
        <f>E734-$H$27</f>
        <v/>
      </c>
      <c r="H734" s="29">
        <f>F734-$H$28</f>
        <v/>
      </c>
    </row>
    <row r="735" ht="15" customHeight="1">
      <c r="B735" s="24" t="n">
        <v>45223</v>
      </c>
      <c r="C735" s="25" t="n">
        <v>1348.5</v>
      </c>
      <c r="D735" s="25" t="n">
        <v>24516.2</v>
      </c>
      <c r="E735" s="30">
        <f>(C735-C734)/C734</f>
        <v/>
      </c>
      <c r="F735" s="30">
        <f>(D735-D734)/D734</f>
        <v/>
      </c>
      <c r="G735" s="29">
        <f>E735-$H$27</f>
        <v/>
      </c>
      <c r="H735" s="29">
        <f>F735-$H$28</f>
        <v/>
      </c>
    </row>
    <row r="736" ht="15" customHeight="1">
      <c r="B736" s="26" t="n">
        <v>45224</v>
      </c>
      <c r="C736" s="27" t="n">
        <v>1345.92</v>
      </c>
      <c r="D736" s="27" t="n">
        <v>24204.51</v>
      </c>
      <c r="E736" s="28">
        <f>(C736-C735)/C735</f>
        <v/>
      </c>
      <c r="F736" s="28">
        <f>(D736-D735)/D735</f>
        <v/>
      </c>
      <c r="G736" s="29">
        <f>E736-$H$27</f>
        <v/>
      </c>
      <c r="H736" s="29">
        <f>F736-$H$28</f>
        <v/>
      </c>
    </row>
    <row r="737" ht="15" customHeight="1">
      <c r="B737" s="24" t="n">
        <v>45225</v>
      </c>
      <c r="C737" s="25" t="n">
        <v>1352.23</v>
      </c>
      <c r="D737" s="25" t="n">
        <v>24453.94</v>
      </c>
      <c r="E737" s="30">
        <f>(C737-C736)/C736</f>
        <v/>
      </c>
      <c r="F737" s="30">
        <f>(D737-D736)/D736</f>
        <v/>
      </c>
      <c r="G737" s="29">
        <f>E737-$H$27</f>
        <v/>
      </c>
      <c r="H737" s="29">
        <f>F737-$H$28</f>
        <v/>
      </c>
    </row>
    <row r="738" ht="15" customHeight="1">
      <c r="B738" s="26" t="n">
        <v>45226</v>
      </c>
      <c r="C738" s="27" t="n">
        <v>1322.73</v>
      </c>
      <c r="D738" s="27" t="n">
        <v>24075.06</v>
      </c>
      <c r="E738" s="28">
        <f>(C738-C737)/C737</f>
        <v/>
      </c>
      <c r="F738" s="28">
        <f>(D738-D737)/D737</f>
        <v/>
      </c>
      <c r="G738" s="29">
        <f>E738-$H$27</f>
        <v/>
      </c>
      <c r="H738" s="29">
        <f>F738-$H$28</f>
        <v/>
      </c>
    </row>
    <row r="739" ht="15" customHeight="1">
      <c r="B739" s="24" t="n">
        <v>45229</v>
      </c>
      <c r="C739" s="25" t="n">
        <v>1356.06</v>
      </c>
      <c r="D739" s="25" t="n">
        <v>24101.56</v>
      </c>
      <c r="E739" s="30">
        <f>(C739-C738)/C738</f>
        <v/>
      </c>
      <c r="F739" s="30">
        <f>(D739-D738)/D738</f>
        <v/>
      </c>
      <c r="G739" s="29">
        <f>E739-$H$27</f>
        <v/>
      </c>
      <c r="H739" s="29">
        <f>F739-$H$28</f>
        <v/>
      </c>
    </row>
    <row r="740" ht="15" customHeight="1">
      <c r="B740" s="26" t="n">
        <v>45230</v>
      </c>
      <c r="C740" s="27" t="n">
        <v>1316.76</v>
      </c>
      <c r="D740" s="27" t="n">
        <v>23547.86</v>
      </c>
      <c r="E740" s="28">
        <f>(C740-C739)/C739</f>
        <v/>
      </c>
      <c r="F740" s="28">
        <f>(D740-D739)/D739</f>
        <v/>
      </c>
      <c r="G740" s="29">
        <f>E740-$H$27</f>
        <v/>
      </c>
      <c r="H740" s="29">
        <f>F740-$H$28</f>
        <v/>
      </c>
    </row>
    <row r="741" ht="15" customHeight="1">
      <c r="B741" s="24" t="n">
        <v>45231</v>
      </c>
      <c r="C741" s="25" t="n">
        <v>1337.1</v>
      </c>
      <c r="D741" s="25" t="n">
        <v>23698.74</v>
      </c>
      <c r="E741" s="30">
        <f>(C741-C740)/C740</f>
        <v/>
      </c>
      <c r="F741" s="30">
        <f>(D741-D740)/D740</f>
        <v/>
      </c>
      <c r="G741" s="29">
        <f>E741-$H$27</f>
        <v/>
      </c>
      <c r="H741" s="29">
        <f>F741-$H$28</f>
        <v/>
      </c>
    </row>
    <row r="742" ht="15" customHeight="1">
      <c r="B742" s="26" t="n">
        <v>45232</v>
      </c>
      <c r="C742" s="27" t="n">
        <v>1374.04</v>
      </c>
      <c r="D742" s="27" t="n">
        <v>23698.48</v>
      </c>
      <c r="E742" s="28">
        <f>(C742-C741)/C741</f>
        <v/>
      </c>
      <c r="F742" s="28">
        <f>(D742-D741)/D741</f>
        <v/>
      </c>
      <c r="G742" s="29">
        <f>E742-$H$27</f>
        <v/>
      </c>
      <c r="H742" s="29">
        <f>F742-$H$28</f>
        <v/>
      </c>
    </row>
    <row r="743" ht="15" customHeight="1">
      <c r="B743" s="24" t="n">
        <v>45233</v>
      </c>
      <c r="C743" s="25" t="n">
        <v>1396.67</v>
      </c>
      <c r="D743" s="25" t="n">
        <v>23969.35</v>
      </c>
      <c r="E743" s="30">
        <f>(C743-C742)/C742</f>
        <v/>
      </c>
      <c r="F743" s="30">
        <f>(D743-D742)/D742</f>
        <v/>
      </c>
      <c r="G743" s="29">
        <f>E743-$H$27</f>
        <v/>
      </c>
      <c r="H743" s="29">
        <f>F743-$H$28</f>
        <v/>
      </c>
    </row>
    <row r="744" ht="15" customHeight="1">
      <c r="B744" s="26" t="n">
        <v>45236</v>
      </c>
      <c r="C744" s="27" t="n">
        <v>1351.96</v>
      </c>
      <c r="D744" s="27" t="n">
        <v>24263.35</v>
      </c>
      <c r="E744" s="28">
        <f>(C744-C743)/C743</f>
        <v/>
      </c>
      <c r="F744" s="28">
        <f>(D744-D743)/D743</f>
        <v/>
      </c>
      <c r="G744" s="29">
        <f>E744-$H$27</f>
        <v/>
      </c>
      <c r="H744" s="29">
        <f>F744-$H$28</f>
        <v/>
      </c>
    </row>
    <row r="745" ht="15" customHeight="1">
      <c r="B745" s="24" t="n">
        <v>45237</v>
      </c>
      <c r="C745" s="25" t="n">
        <v>1373.97</v>
      </c>
      <c r="D745" s="25" t="n">
        <v>24155.32</v>
      </c>
      <c r="E745" s="30">
        <f>(C745-C744)/C744</f>
        <v/>
      </c>
      <c r="F745" s="30">
        <f>(D745-D744)/D744</f>
        <v/>
      </c>
      <c r="G745" s="29">
        <f>E745-$H$27</f>
        <v/>
      </c>
      <c r="H745" s="29">
        <f>F745-$H$28</f>
        <v/>
      </c>
    </row>
    <row r="746" ht="15" customHeight="1">
      <c r="B746" s="26" t="n">
        <v>45238</v>
      </c>
      <c r="C746" s="27" t="n">
        <v>1333.31</v>
      </c>
      <c r="D746" s="27" t="n">
        <v>24117.46</v>
      </c>
      <c r="E746" s="28">
        <f>(C746-C745)/C745</f>
        <v/>
      </c>
      <c r="F746" s="28">
        <f>(D746-D745)/D745</f>
        <v/>
      </c>
      <c r="G746" s="29">
        <f>E746-$H$27</f>
        <v/>
      </c>
      <c r="H746" s="29">
        <f>F746-$H$28</f>
        <v/>
      </c>
    </row>
    <row r="747" ht="15" customHeight="1">
      <c r="B747" s="24" t="n">
        <v>45239</v>
      </c>
      <c r="C747" s="25" t="n">
        <v>1305.71</v>
      </c>
      <c r="D747" s="25" t="n">
        <v>24309.3</v>
      </c>
      <c r="E747" s="30">
        <f>(C747-C746)/C746</f>
        <v/>
      </c>
      <c r="F747" s="30">
        <f>(D747-D746)/D746</f>
        <v/>
      </c>
      <c r="G747" s="29">
        <f>E747-$H$27</f>
        <v/>
      </c>
      <c r="H747" s="29">
        <f>F747-$H$28</f>
        <v/>
      </c>
    </row>
    <row r="748" ht="15" customHeight="1">
      <c r="B748" s="26" t="n">
        <v>45240</v>
      </c>
      <c r="C748" s="27" t="n">
        <v>1329.13</v>
      </c>
      <c r="D748" s="27" t="n">
        <v>24199.85</v>
      </c>
      <c r="E748" s="28">
        <f>(C748-C747)/C747</f>
        <v/>
      </c>
      <c r="F748" s="28">
        <f>(D748-D747)/D747</f>
        <v/>
      </c>
      <c r="G748" s="29">
        <f>E748-$H$27</f>
        <v/>
      </c>
      <c r="H748" s="29">
        <f>F748-$H$28</f>
        <v/>
      </c>
    </row>
    <row r="749" ht="15" customHeight="1">
      <c r="B749" s="24" t="n">
        <v>45243</v>
      </c>
      <c r="C749" s="25" t="n">
        <v>1315.88</v>
      </c>
      <c r="D749" s="25" t="n">
        <v>23992.55</v>
      </c>
      <c r="E749" s="30">
        <f>(C749-C748)/C748</f>
        <v/>
      </c>
      <c r="F749" s="30">
        <f>(D749-D748)/D748</f>
        <v/>
      </c>
      <c r="G749" s="29">
        <f>E749-$H$27</f>
        <v/>
      </c>
      <c r="H749" s="29">
        <f>F749-$H$28</f>
        <v/>
      </c>
    </row>
    <row r="750" ht="15" customHeight="1">
      <c r="B750" s="26" t="n">
        <v>45244</v>
      </c>
      <c r="C750" s="27" t="n">
        <v>1342.86</v>
      </c>
      <c r="D750" s="27" t="n">
        <v>23931.44</v>
      </c>
      <c r="E750" s="28">
        <f>(C750-C749)/C749</f>
        <v/>
      </c>
      <c r="F750" s="28">
        <f>(D750-D749)/D749</f>
        <v/>
      </c>
      <c r="G750" s="29">
        <f>E750-$H$27</f>
        <v/>
      </c>
      <c r="H750" s="29">
        <f>F750-$H$28</f>
        <v/>
      </c>
    </row>
    <row r="751" ht="15" customHeight="1">
      <c r="B751" s="24" t="n">
        <v>45245</v>
      </c>
      <c r="C751" s="25" t="n">
        <v>1326.35</v>
      </c>
      <c r="D751" s="25" t="n">
        <v>23881.7</v>
      </c>
      <c r="E751" s="30">
        <f>(C751-C750)/C750</f>
        <v/>
      </c>
      <c r="F751" s="30">
        <f>(D751-D750)/D750</f>
        <v/>
      </c>
      <c r="G751" s="29">
        <f>E751-$H$27</f>
        <v/>
      </c>
      <c r="H751" s="29">
        <f>F751-$H$28</f>
        <v/>
      </c>
    </row>
    <row r="752" ht="15" customHeight="1">
      <c r="B752" s="26" t="n">
        <v>45246</v>
      </c>
      <c r="C752" s="27" t="n">
        <v>1334.51</v>
      </c>
      <c r="D752" s="27" t="n">
        <v>23994.58</v>
      </c>
      <c r="E752" s="28">
        <f>(C752-C751)/C751</f>
        <v/>
      </c>
      <c r="F752" s="28">
        <f>(D752-D751)/D751</f>
        <v/>
      </c>
      <c r="G752" s="29">
        <f>E752-$H$27</f>
        <v/>
      </c>
      <c r="H752" s="29">
        <f>F752-$H$28</f>
        <v/>
      </c>
    </row>
    <row r="753" ht="15" customHeight="1">
      <c r="B753" s="24" t="n">
        <v>45247</v>
      </c>
      <c r="C753" s="25" t="n">
        <v>1366.93</v>
      </c>
      <c r="D753" s="25" t="n">
        <v>23776.01</v>
      </c>
      <c r="E753" s="30">
        <f>(C753-C752)/C752</f>
        <v/>
      </c>
      <c r="F753" s="30">
        <f>(D753-D752)/D752</f>
        <v/>
      </c>
      <c r="G753" s="29">
        <f>E753-$H$27</f>
        <v/>
      </c>
      <c r="H753" s="29">
        <f>F753-$H$28</f>
        <v/>
      </c>
    </row>
    <row r="754" ht="15" customHeight="1">
      <c r="B754" s="26" t="n">
        <v>45250</v>
      </c>
      <c r="C754" s="27" t="n">
        <v>1378.34</v>
      </c>
      <c r="D754" s="27" t="n">
        <v>24002.32</v>
      </c>
      <c r="E754" s="28">
        <f>(C754-C753)/C753</f>
        <v/>
      </c>
      <c r="F754" s="28">
        <f>(D754-D753)/D753</f>
        <v/>
      </c>
      <c r="G754" s="29">
        <f>E754-$H$27</f>
        <v/>
      </c>
      <c r="H754" s="29">
        <f>F754-$H$28</f>
        <v/>
      </c>
    </row>
  </sheetData>
  <mergeCells count="5">
    <mergeCell ref="H38:I38"/>
    <mergeCell ref="B2:I2"/>
    <mergeCell ref="H37:I37"/>
    <mergeCell ref="H22:I22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B1:H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35" customWidth="1" min="4" max="4"/>
    <col width="5" customWidth="1" min="5" max="5"/>
  </cols>
  <sheetData>
    <row r="1">
      <c r="B1" s="21" t="inlineStr">
        <is>
          <t>COST OF EQUITY – CAPITAL ASSET PRICING MODEL (CAPM)</t>
        </is>
      </c>
      <c r="C1" s="4" t="n"/>
      <c r="D1" s="5" t="n"/>
    </row>
    <row r="2">
      <c r="B2" s="22" t="inlineStr">
        <is>
          <t>CAPM: Ke = Rf + β × (Rm – Rf)   |   Rf = 91-Day T-Bill rate, β from OLS, ERP = historical market premium</t>
        </is>
      </c>
    </row>
    <row r="4">
      <c r="B4" s="48" t="inlineStr">
        <is>
          <t>CAPM INPUTS</t>
        </is>
      </c>
      <c r="C4" s="4" t="n"/>
      <c r="D4" s="5" t="n"/>
    </row>
    <row r="5">
      <c r="B5" s="7" t="inlineStr">
        <is>
          <t>Risk-Free Rate (Rf) – 91-Day T-Bill (Apr 2026)</t>
        </is>
      </c>
      <c r="C5" s="46" t="n">
        <v>0.0668</v>
      </c>
      <c r="D5" s="49" t="inlineStr"/>
    </row>
    <row r="6">
      <c r="B6" s="9" t="inlineStr">
        <is>
          <t>Beta (β) – from OLS regression</t>
        </is>
      </c>
      <c r="C6" s="50">
        <f>Beta_Est!I29</f>
        <v/>
      </c>
      <c r="D6" s="51" t="inlineStr"/>
    </row>
    <row r="7">
      <c r="B7" s="7" t="inlineStr">
        <is>
          <t>Equity Risk Premium (ERP) = E[Rm] – Rf</t>
        </is>
      </c>
      <c r="C7" s="46" t="n">
        <v>0.055</v>
      </c>
      <c r="D7" s="49" t="inlineStr"/>
    </row>
    <row r="8">
      <c r="B8" s="8" t="inlineStr">
        <is>
          <t xml:space="preserve">  Source: Damodaran India ERP estimate (long-run)</t>
        </is>
      </c>
      <c r="C8" s="35" t="inlineStr"/>
      <c r="D8" s="51" t="inlineStr"/>
    </row>
    <row r="9">
      <c r="B9" s="8" t="inlineStr">
        <is>
          <t xml:space="preserve">  Historical Nifty 50 CAGR (20-yr) ≈ 14.5%, Rf ≈ 6.7% → ERP ≈ 7.8% (alternate)</t>
        </is>
      </c>
      <c r="C9" s="35" t="inlineStr"/>
      <c r="D9" s="51" t="inlineStr"/>
    </row>
    <row r="10">
      <c r="B10" s="8" t="inlineStr">
        <is>
          <t xml:space="preserve">  We adopt conservative ERP of 5.5% (Damodaran 2024 India estimate)</t>
        </is>
      </c>
      <c r="C10" s="35" t="inlineStr"/>
      <c r="D10" s="51" t="inlineStr"/>
    </row>
    <row r="11">
      <c r="B11" s="52" t="inlineStr"/>
      <c r="C11" s="53" t="inlineStr"/>
      <c r="D11" s="54" t="inlineStr"/>
    </row>
    <row r="12">
      <c r="B12" s="48" t="inlineStr">
        <is>
          <t>CAPM RESULT</t>
        </is>
      </c>
      <c r="C12" s="4" t="n"/>
      <c r="D12" s="5" t="n"/>
    </row>
    <row r="13">
      <c r="B13" s="55" t="inlineStr">
        <is>
          <t>Cost of Equity (Ke) = Rf + β × ERP</t>
        </is>
      </c>
      <c r="C13" s="15">
        <f>C5+C7*C6</f>
        <v/>
      </c>
      <c r="D13" s="56" t="inlineStr"/>
    </row>
    <row r="14">
      <c r="B14" s="52" t="inlineStr"/>
      <c r="C14" s="53" t="inlineStr"/>
      <c r="D14" s="54" t="inlineStr"/>
    </row>
    <row r="15">
      <c r="B15" s="48" t="inlineStr">
        <is>
          <t>SENSITIVITY: Cost of Equity for varying Beta &amp; ERP</t>
        </is>
      </c>
      <c r="C15" s="4" t="n"/>
      <c r="D15" s="5" t="n"/>
    </row>
    <row r="17">
      <c r="B17" s="57" t="inlineStr">
        <is>
          <t>Beta \ ERP →</t>
        </is>
      </c>
      <c r="C17" s="23" t="inlineStr">
        <is>
          <t>4.5%</t>
        </is>
      </c>
      <c r="D17" s="23" t="inlineStr">
        <is>
          <t>5.0%</t>
        </is>
      </c>
      <c r="E17" s="23" t="inlineStr">
        <is>
          <t>5.5%</t>
        </is>
      </c>
      <c r="F17" s="23" t="inlineStr">
        <is>
          <t>6.0%</t>
        </is>
      </c>
      <c r="G17" s="23" t="inlineStr">
        <is>
          <t>6.5%</t>
        </is>
      </c>
      <c r="H17" s="23" t="inlineStr">
        <is>
          <t>7.0%</t>
        </is>
      </c>
    </row>
    <row r="18">
      <c r="B18" s="58" t="n">
        <v>0.8</v>
      </c>
      <c r="C18" s="59" t="n">
        <v>0.1028</v>
      </c>
      <c r="D18" s="59" t="n">
        <v>0.1068</v>
      </c>
      <c r="E18" s="59" t="n">
        <v>0.1108</v>
      </c>
      <c r="F18" s="59" t="n">
        <v>0.1148</v>
      </c>
      <c r="G18" s="59" t="n">
        <v>0.1188</v>
      </c>
      <c r="H18" s="59" t="n">
        <v>0.1228</v>
      </c>
    </row>
    <row r="19">
      <c r="B19" s="58" t="n">
        <v>0.9</v>
      </c>
      <c r="C19" s="60" t="n">
        <v>0.1073</v>
      </c>
      <c r="D19" s="60" t="n">
        <v>0.1118</v>
      </c>
      <c r="E19" s="60" t="n">
        <v>0.1163</v>
      </c>
      <c r="F19" s="60" t="n">
        <v>0.1208</v>
      </c>
      <c r="G19" s="60" t="n">
        <v>0.1253</v>
      </c>
      <c r="H19" s="60" t="n">
        <v>0.1298</v>
      </c>
    </row>
    <row r="20">
      <c r="B20" s="58" t="n">
        <v>1</v>
      </c>
      <c r="C20" s="59" t="n">
        <v>0.1118</v>
      </c>
      <c r="D20" s="59" t="n">
        <v>0.1168</v>
      </c>
      <c r="E20" s="59" t="n">
        <v>0.1218</v>
      </c>
      <c r="F20" s="59" t="n">
        <v>0.1268</v>
      </c>
      <c r="G20" s="59" t="n">
        <v>0.1318</v>
      </c>
      <c r="H20" s="59" t="n">
        <v>0.1368</v>
      </c>
    </row>
    <row r="21">
      <c r="B21" s="58" t="n">
        <v>1.1</v>
      </c>
      <c r="C21" s="60" t="n">
        <v>0.1163</v>
      </c>
      <c r="D21" s="60" t="n">
        <v>0.1218</v>
      </c>
      <c r="E21" s="60" t="n">
        <v>0.1273</v>
      </c>
      <c r="F21" s="60" t="n">
        <v>0.1328</v>
      </c>
      <c r="G21" s="60" t="n">
        <v>0.1383</v>
      </c>
      <c r="H21" s="60" t="n">
        <v>0.1438</v>
      </c>
    </row>
    <row r="22">
      <c r="B22" s="58" t="n">
        <v>1.2</v>
      </c>
      <c r="C22" s="59" t="n">
        <v>0.1208</v>
      </c>
      <c r="D22" s="59" t="n">
        <v>0.1268</v>
      </c>
      <c r="E22" s="59" t="n">
        <v>0.1328</v>
      </c>
      <c r="F22" s="59" t="n">
        <v>0.1388</v>
      </c>
      <c r="G22" s="59" t="n">
        <v>0.1448</v>
      </c>
      <c r="H22" s="59" t="n">
        <v>0.1508</v>
      </c>
    </row>
    <row r="23">
      <c r="B23" s="58" t="n">
        <v>1.3</v>
      </c>
      <c r="C23" s="60" t="n">
        <v>0.1253</v>
      </c>
      <c r="D23" s="61" t="n">
        <v>0.1318</v>
      </c>
      <c r="E23" s="61" t="n">
        <v>0.1383</v>
      </c>
      <c r="F23" s="61" t="n">
        <v>0.1448</v>
      </c>
      <c r="G23" s="60" t="n">
        <v>0.1513</v>
      </c>
      <c r="H23" s="60" t="n">
        <v>0.1578</v>
      </c>
    </row>
    <row r="24">
      <c r="B24" s="58" t="n">
        <v>1.4</v>
      </c>
      <c r="C24" s="59" t="n">
        <v>0.1298</v>
      </c>
      <c r="D24" s="61" t="n">
        <v>0.1368</v>
      </c>
      <c r="E24" s="61" t="n">
        <v>0.1438</v>
      </c>
      <c r="F24" s="61" t="n">
        <v>0.1508</v>
      </c>
      <c r="G24" s="59" t="n">
        <v>0.1578</v>
      </c>
      <c r="H24" s="59" t="n">
        <v>0.1648</v>
      </c>
    </row>
    <row r="25">
      <c r="B25" s="58" t="n">
        <v>1.5</v>
      </c>
      <c r="C25" s="60" t="n">
        <v>0.1343</v>
      </c>
      <c r="D25" s="60" t="n">
        <v>0.1418</v>
      </c>
      <c r="E25" s="60" t="n">
        <v>0.1493</v>
      </c>
      <c r="F25" s="60" t="n">
        <v>0.1568</v>
      </c>
      <c r="G25" s="60" t="n">
        <v>0.1643</v>
      </c>
      <c r="H25" s="60" t="n">
        <v>0.1718</v>
      </c>
    </row>
    <row r="27">
      <c r="B27" s="22" t="inlineStr">
        <is>
          <t>★ Highlighted cell = base-case assumption used in valuation.</t>
        </is>
      </c>
    </row>
    <row r="28">
      <c r="B28" s="22" t="inlineStr">
        <is>
          <t>Formula: Ke = 6.68% (Rf) + Beta × ERP. The 91-Day T-Bill rate as of April 2026 is used as risk-free rate proxy per RBI data.</t>
        </is>
      </c>
    </row>
  </sheetData>
  <mergeCells count="7">
    <mergeCell ref="B28:D28"/>
    <mergeCell ref="B15:D15"/>
    <mergeCell ref="B1:D1"/>
    <mergeCell ref="B4:D4"/>
    <mergeCell ref="B27:D27"/>
    <mergeCell ref="B12:D1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B1:F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B1" s="21" t="inlineStr">
        <is>
          <t>EPS HISTORY &amp; GROWTH RATE ESTIMATION – TRENT LIMITED</t>
        </is>
      </c>
      <c r="C1" s="4" t="n"/>
      <c r="D1" s="4" t="n"/>
      <c r="E1" s="4" t="n"/>
      <c r="F1" s="5" t="n"/>
    </row>
    <row r="2">
      <c r="B2" s="22" t="inlineStr">
        <is>
          <t>Growth rates are estimated using three approaches: (1) Historical EPS CAGR, (2) Sustainable Growth Rate (ROE × b), (3) Analyst consensus forecast. All figures in ₹ per share unless stated.</t>
        </is>
      </c>
    </row>
    <row r="4">
      <c r="B4" s="3" t="inlineStr">
        <is>
          <t>A. HISTORICAL EPS DATA (FY2019 – FY2024)</t>
        </is>
      </c>
      <c r="C4" s="4" t="n"/>
      <c r="D4" s="4" t="n"/>
      <c r="E4" s="4" t="n"/>
      <c r="F4" s="5" t="n"/>
    </row>
    <row r="5">
      <c r="B5" s="57" t="inlineStr">
        <is>
          <t>Fiscal Year</t>
        </is>
      </c>
      <c r="C5" s="57" t="inlineStr">
        <is>
          <t>EPS (₹)</t>
        </is>
      </c>
      <c r="D5" s="57" t="inlineStr">
        <is>
          <t>YoY Growth</t>
        </is>
      </c>
      <c r="E5" s="57" t="inlineStr">
        <is>
          <t>DPS (₹)</t>
        </is>
      </c>
      <c r="F5" s="57" t="inlineStr">
        <is>
          <t>Retention Ratio</t>
        </is>
      </c>
    </row>
    <row r="6">
      <c r="B6" s="62" t="inlineStr">
        <is>
          <t>FY2019</t>
        </is>
      </c>
      <c r="C6" s="63" t="n">
        <v>6.3</v>
      </c>
      <c r="D6" s="64" t="inlineStr">
        <is>
          <t>N/A</t>
        </is>
      </c>
      <c r="E6" s="63" t="n">
        <v>1.5</v>
      </c>
      <c r="F6" s="46">
        <f>1-(E6/C6)</f>
        <v/>
      </c>
    </row>
    <row r="7">
      <c r="B7" s="65" t="inlineStr">
        <is>
          <t>FY2020</t>
        </is>
      </c>
      <c r="C7" s="66" t="n">
        <v>7.1</v>
      </c>
      <c r="D7" s="67">
        <f>(C7-C6)/ABS(C6)</f>
        <v/>
      </c>
      <c r="E7" s="66" t="n">
        <v>1.5</v>
      </c>
      <c r="F7" s="67">
        <f>1-(E7/C7)</f>
        <v/>
      </c>
    </row>
    <row r="8">
      <c r="B8" s="62" t="inlineStr">
        <is>
          <t>FY2021</t>
        </is>
      </c>
      <c r="C8" s="63" t="n">
        <v>-1.2</v>
      </c>
      <c r="D8" s="46">
        <f>(C8-C7)/ABS(C7)</f>
        <v/>
      </c>
      <c r="E8" s="63" t="n">
        <v>0</v>
      </c>
      <c r="F8" s="46" t="inlineStr">
        <is>
          <t>N/A</t>
        </is>
      </c>
    </row>
    <row r="9">
      <c r="B9" s="65" t="inlineStr">
        <is>
          <t>FY2022</t>
        </is>
      </c>
      <c r="C9" s="66" t="n">
        <v>10.5</v>
      </c>
      <c r="D9" s="67">
        <f>(C9-C8)/ABS(C8)</f>
        <v/>
      </c>
      <c r="E9" s="66" t="n">
        <v>1.5</v>
      </c>
      <c r="F9" s="67">
        <f>1-(E9/C9)</f>
        <v/>
      </c>
    </row>
    <row r="10">
      <c r="B10" s="62" t="inlineStr">
        <is>
          <t>FY2023</t>
        </is>
      </c>
      <c r="C10" s="63" t="n">
        <v>22.8</v>
      </c>
      <c r="D10" s="46">
        <f>(C10-C9)/ABS(C9)</f>
        <v/>
      </c>
      <c r="E10" s="63" t="n">
        <v>2</v>
      </c>
      <c r="F10" s="46">
        <f>1-(E10/C10)</f>
        <v/>
      </c>
    </row>
    <row r="11">
      <c r="B11" s="65" t="inlineStr">
        <is>
          <t>FY2024</t>
        </is>
      </c>
      <c r="C11" s="66" t="n">
        <v>37.6</v>
      </c>
      <c r="D11" s="67">
        <f>(C11-C10)/ABS(C10)</f>
        <v/>
      </c>
      <c r="E11" s="66" t="n">
        <v>2.5</v>
      </c>
      <c r="F11" s="67">
        <f>1-(E11/C11)</f>
        <v/>
      </c>
    </row>
    <row r="13">
      <c r="B13" s="3" t="inlineStr">
        <is>
          <t>METHOD 1: HISTORICAL EPS CAGR</t>
        </is>
      </c>
      <c r="C13" s="4" t="n"/>
      <c r="D13" s="4" t="n"/>
      <c r="E13" s="4" t="n"/>
      <c r="F13" s="5" t="n"/>
    </row>
    <row r="14">
      <c r="B14" s="7" t="inlineStr">
        <is>
          <t>Base Year EPS (FY2019)</t>
        </is>
      </c>
      <c r="C14" s="63">
        <f>C6</f>
        <v/>
      </c>
      <c r="D14" s="49" t="n"/>
      <c r="E14" s="49" t="n"/>
      <c r="F14" s="49" t="n"/>
    </row>
    <row r="15">
      <c r="B15" s="9" t="inlineStr">
        <is>
          <t>Latest Year EPS (FY2024)</t>
        </is>
      </c>
      <c r="C15" s="68">
        <f>C11</f>
        <v/>
      </c>
      <c r="D15" s="51" t="n"/>
      <c r="E15" s="51" t="n"/>
      <c r="F15" s="51" t="n"/>
    </row>
    <row r="16">
      <c r="B16" s="7" t="inlineStr">
        <is>
          <t>Number of years (n)</t>
        </is>
      </c>
      <c r="C16" s="33" t="n">
        <v>5</v>
      </c>
      <c r="D16" s="49" t="n"/>
      <c r="E16" s="49" t="n"/>
      <c r="F16" s="49" t="n"/>
    </row>
    <row r="17">
      <c r="B17" s="55" t="inlineStr">
        <is>
          <t>Historical EPS CAGR</t>
        </is>
      </c>
      <c r="C17" s="15">
        <f>(C15/C14)^(1/C16)-1</f>
        <v/>
      </c>
      <c r="D17" s="56" t="n"/>
      <c r="E17" s="56" t="n"/>
      <c r="F17" s="56" t="n"/>
    </row>
    <row r="18">
      <c r="B18" s="22" t="inlineStr">
        <is>
          <t>Note: FY2021 EPS was negative (COVID-19 impact). CAGR calculated from FY2019→FY2024 = 5 years. 5-yr CAGR ≈ 43% but reflects a low base + COVID recovery. Requires normalisation.</t>
        </is>
      </c>
    </row>
    <row r="20">
      <c r="B20" s="3" t="inlineStr">
        <is>
          <t>METHOD 2: SUSTAINABLE GROWTH RATE (SGR = ROE × b)</t>
        </is>
      </c>
      <c r="C20" s="4" t="n"/>
      <c r="D20" s="4" t="n"/>
      <c r="E20" s="4" t="n"/>
      <c r="F20" s="5" t="n"/>
    </row>
    <row r="21">
      <c r="B21" s="7" t="inlineStr">
        <is>
          <t>Net Profit (FY2024) – ₹ cr</t>
        </is>
      </c>
      <c r="C21" s="63" t="n">
        <v>1265</v>
      </c>
      <c r="D21" s="49" t="n"/>
      <c r="E21" s="49" t="n"/>
      <c r="F21" s="49" t="n"/>
    </row>
    <row r="22">
      <c r="B22" s="9" t="inlineStr">
        <is>
          <t>Shareholders' Equity (FY2024) – ₹ cr</t>
        </is>
      </c>
      <c r="C22" s="68" t="n">
        <v>5048</v>
      </c>
      <c r="D22" s="51" t="n"/>
      <c r="E22" s="51" t="n"/>
      <c r="F22" s="51" t="n"/>
    </row>
    <row r="23">
      <c r="B23" s="7" t="inlineStr">
        <is>
          <t>Return on Equity (ROE)</t>
        </is>
      </c>
      <c r="C23" s="46">
        <f>C21/C22</f>
        <v/>
      </c>
      <c r="D23" s="49" t="n"/>
      <c r="E23" s="49" t="n"/>
      <c r="F23" s="49" t="n"/>
    </row>
    <row r="24">
      <c r="B24" s="9" t="inlineStr">
        <is>
          <t>Retention Ratio (b) = 1 – Payout</t>
        </is>
      </c>
      <c r="C24" s="42">
        <f>1-(E11/C11)</f>
        <v/>
      </c>
      <c r="D24" s="51" t="n"/>
      <c r="E24" s="51" t="n"/>
      <c r="F24" s="51" t="n"/>
    </row>
    <row r="25">
      <c r="B25" s="55" t="inlineStr">
        <is>
          <t>Sustainable Growth Rate (SGR)</t>
        </is>
      </c>
      <c r="C25" s="15">
        <f>C23*C24</f>
        <v/>
      </c>
      <c r="D25" s="56" t="n"/>
      <c r="E25" s="56" t="n"/>
      <c r="F25" s="56" t="n"/>
    </row>
    <row r="27">
      <c r="B27" s="3" t="inlineStr">
        <is>
          <t>METHOD 3: ANALYST CONSENSUS FORECAST</t>
        </is>
      </c>
      <c r="C27" s="4" t="n"/>
      <c r="D27" s="4" t="n"/>
      <c r="E27" s="4" t="n"/>
      <c r="F27" s="5" t="n"/>
    </row>
    <row r="28">
      <c r="B28" s="7" t="inlineStr">
        <is>
          <t>Analyst 1 – Bloomberg consensus</t>
        </is>
      </c>
      <c r="C28" s="69" t="inlineStr">
        <is>
          <t>0.35</t>
        </is>
      </c>
      <c r="D28" s="49" t="n"/>
      <c r="E28" s="49" t="n"/>
      <c r="F28" s="49" t="n"/>
    </row>
    <row r="29">
      <c r="B29" s="9" t="inlineStr">
        <is>
          <t>Analyst 2 – Motilal Oswal Research</t>
        </is>
      </c>
      <c r="C29" s="70" t="inlineStr">
        <is>
          <t>0.32</t>
        </is>
      </c>
      <c r="D29" s="51" t="n"/>
      <c r="E29" s="51" t="n"/>
      <c r="F29" s="51" t="n"/>
    </row>
    <row r="30">
      <c r="B30" s="7" t="inlineStr">
        <is>
          <t>Analyst 3 – Kotak Securities</t>
        </is>
      </c>
      <c r="C30" s="69" t="inlineStr">
        <is>
          <t>0.30</t>
        </is>
      </c>
      <c r="D30" s="49" t="n"/>
      <c r="E30" s="49" t="n"/>
      <c r="F30" s="49" t="n"/>
    </row>
    <row r="31">
      <c r="B31" s="55" t="inlineStr">
        <is>
          <t>Average Analyst Growth Forecast</t>
        </is>
      </c>
      <c r="C31" s="15">
        <f>AVERAGE(C28:C30)</f>
        <v/>
      </c>
      <c r="D31" s="56" t="n"/>
      <c r="E31" s="56" t="n"/>
      <c r="F31" s="56" t="n"/>
    </row>
    <row r="33">
      <c r="B33" s="10" t="inlineStr">
        <is>
          <t>ADOPTED GROWTH RATE &amp; JUSTIFICATION</t>
        </is>
      </c>
      <c r="C33" s="4" t="n"/>
      <c r="D33" s="4" t="n"/>
      <c r="E33" s="4" t="n"/>
      <c r="F33" s="5" t="n"/>
    </row>
    <row r="34">
      <c r="B34" s="55" t="inlineStr">
        <is>
          <t>Historical EPS CAGR (FY19–FY24)</t>
        </is>
      </c>
      <c r="C34" s="71">
        <f>C17</f>
        <v/>
      </c>
      <c r="D34" s="56" t="n"/>
      <c r="E34" s="56" t="n"/>
      <c r="F34" s="56" t="n"/>
    </row>
    <row r="35">
      <c r="B35" s="55" t="inlineStr">
        <is>
          <t>Sustainable Growth Rate (SGR)</t>
        </is>
      </c>
      <c r="C35" s="71">
        <f>C25</f>
        <v/>
      </c>
      <c r="D35" s="56" t="n"/>
      <c r="E35" s="56" t="n"/>
      <c r="F35" s="56" t="n"/>
    </row>
    <row r="36">
      <c r="B36" s="55" t="inlineStr">
        <is>
          <t>Analyst Consensus Average</t>
        </is>
      </c>
      <c r="C36" s="71">
        <f>C31</f>
        <v/>
      </c>
      <c r="D36" s="56" t="n"/>
      <c r="E36" s="56" t="n"/>
      <c r="F36" s="56" t="n"/>
    </row>
    <row r="37">
      <c r="B37" s="72" t="inlineStr">
        <is>
          <t>ADOPTED GROWTH RATE (g)</t>
        </is>
      </c>
      <c r="C37" s="73" t="n">
        <v>0.3</v>
      </c>
      <c r="D37" s="74" t="n"/>
      <c r="E37" s="74" t="n"/>
      <c r="F37" s="74" t="n"/>
    </row>
    <row r="38" ht="60" customHeight="1">
      <c r="B38" s="22" t="inlineStr">
        <is>
          <t>JUSTIFICATION: The adopted growth rate of 30% is a conservative blend of SGR (~24%) and analyst forecasts (~32%). The 5-yr historical CAGR of ~43% overstates sustainable growth as it includes COVID base-effect recovery. Trent's store expansion (~140 new stores p.a.) and growing market share in value retail support a 30% EPS growth for FY25, tapering thereafter in a multi-stage model.</t>
        </is>
      </c>
    </row>
  </sheetData>
  <mergeCells count="9">
    <mergeCell ref="B4:F4"/>
    <mergeCell ref="B27:F27"/>
    <mergeCell ref="B38:F38"/>
    <mergeCell ref="B2:F2"/>
    <mergeCell ref="B20:F20"/>
    <mergeCell ref="B33:F33"/>
    <mergeCell ref="B1:F1"/>
    <mergeCell ref="B18:F18"/>
    <mergeCell ref="B13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B1:D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35" customWidth="1" min="4" max="4"/>
  </cols>
  <sheetData>
    <row r="1">
      <c r="B1" s="21" t="inlineStr">
        <is>
          <t>INTRINSIC VALUE ESTIMATION – EARNINGS MULTIPLIER (P/E) MODEL</t>
        </is>
      </c>
      <c r="C1" s="4" t="n"/>
      <c r="D1" s="5" t="n"/>
    </row>
    <row r="2">
      <c r="B2" s="22" t="inlineStr">
        <is>
          <t>Intrinsic Value = Forward EPS × Justified P/E Multiple  where Justified P/E = Payout Ratio / (Ke – g)</t>
        </is>
      </c>
    </row>
    <row r="4">
      <c r="B4" s="3" t="inlineStr">
        <is>
          <t>INPUTS</t>
        </is>
      </c>
      <c r="C4" s="4" t="n"/>
      <c r="D4" s="5" t="n"/>
    </row>
    <row r="5">
      <c r="B5" s="7" t="inlineStr">
        <is>
          <t>Base EPS – FY2024 (₹)</t>
        </is>
      </c>
      <c r="C5" s="63" t="n">
        <v>37.6</v>
      </c>
      <c r="D5" s="49" t="inlineStr"/>
    </row>
    <row r="6">
      <c r="B6" s="9" t="inlineStr">
        <is>
          <t>Forward EPS – FY2025E (₹)</t>
        </is>
      </c>
      <c r="C6" s="75">
        <f>C5*(1+Growth!C37)</f>
        <v/>
      </c>
      <c r="D6" s="51" t="inlineStr"/>
    </row>
    <row r="7">
      <c r="B7" s="7" t="inlineStr">
        <is>
          <t>Adopted Growth Rate (g)</t>
        </is>
      </c>
      <c r="C7" s="46">
        <f>Growth!C37</f>
        <v/>
      </c>
      <c r="D7" s="49" t="inlineStr"/>
    </row>
    <row r="8">
      <c r="B8" s="9" t="inlineStr">
        <is>
          <t>Cost of Equity (Ke)</t>
        </is>
      </c>
      <c r="C8" s="42">
        <f>CAPM!C9</f>
        <v/>
      </c>
      <c r="D8" s="51" t="inlineStr"/>
    </row>
    <row r="9">
      <c r="B9" s="7" t="inlineStr">
        <is>
          <t>Dividend Payout Ratio (FY2024)</t>
        </is>
      </c>
      <c r="C9" s="46">
        <f>1-Growth!C24</f>
        <v/>
      </c>
      <c r="D9" s="49" t="inlineStr"/>
    </row>
    <row r="11">
      <c r="B11" s="3" t="inlineStr">
        <is>
          <t>JUSTIFIED P/E MULTIPLE CALCULATION</t>
        </is>
      </c>
      <c r="C11" s="4" t="n"/>
      <c r="D11" s="5" t="n"/>
    </row>
    <row r="12">
      <c r="B12" s="11" t="inlineStr">
        <is>
          <t>Justified P/E = Payout / (Ke – g)</t>
        </is>
      </c>
      <c r="C12" s="12">
        <f>C9/(C8-C7)</f>
        <v/>
      </c>
      <c r="D12" s="76">
        <f> Payout Ratio / (Cost of Equity – Growth Rate)</f>
        <v/>
      </c>
    </row>
    <row r="13">
      <c r="B13" s="9" t="inlineStr">
        <is>
          <t>Sector Average P/E (peer check)</t>
        </is>
      </c>
      <c r="C13" s="77" t="n">
        <v>65</v>
      </c>
      <c r="D13" s="78" t="inlineStr">
        <is>
          <t>Avg P/E of Trent peer group (Zara India, V-Mart, DMart)</t>
        </is>
      </c>
    </row>
    <row r="14">
      <c r="B14" s="11" t="inlineStr">
        <is>
          <t>Applied P/E Multiple</t>
        </is>
      </c>
      <c r="C14" s="12">
        <f>MIN(C12,C13)</f>
        <v/>
      </c>
      <c r="D14" s="76" t="inlineStr">
        <is>
          <t>Conservative: lower of justified P/E and sector avg</t>
        </is>
      </c>
    </row>
    <row r="16">
      <c r="B16" s="10" t="inlineStr">
        <is>
          <t>INTRINSIC VALUE &amp; INVESTMENT DECISION</t>
        </is>
      </c>
      <c r="C16" s="4" t="n"/>
      <c r="D16" s="5" t="n"/>
    </row>
    <row r="17">
      <c r="B17" s="11" t="inlineStr">
        <is>
          <t>Intrinsic Value per Share (₹)</t>
        </is>
      </c>
      <c r="C17" s="17">
        <f>C6*C14</f>
        <v/>
      </c>
      <c r="D17" s="56" t="inlineStr"/>
    </row>
    <row r="18">
      <c r="B18" s="52" t="inlineStr"/>
      <c r="C18" s="53" t="inlineStr"/>
      <c r="D18" s="54" t="inlineStr"/>
    </row>
    <row r="19">
      <c r="B19" s="9" t="inlineStr">
        <is>
          <t>Current Market Price (₹)</t>
        </is>
      </c>
      <c r="C19" s="68" t="n">
        <v>5500</v>
      </c>
      <c r="D19" s="51" t="inlineStr"/>
    </row>
    <row r="20">
      <c r="B20" s="52" t="inlineStr"/>
      <c r="C20" s="53" t="inlineStr"/>
      <c r="D20" s="54" t="inlineStr"/>
    </row>
    <row r="21">
      <c r="B21" s="11" t="inlineStr">
        <is>
          <t>Margin of Safety / (Premium)</t>
        </is>
      </c>
      <c r="C21" s="15">
        <f>(C17-C19)/C19</f>
        <v/>
      </c>
      <c r="D21" s="56" t="inlineStr"/>
    </row>
    <row r="22">
      <c r="B22" s="52" t="inlineStr"/>
      <c r="C22" s="53" t="inlineStr"/>
      <c r="D22" s="54" t="inlineStr"/>
    </row>
    <row r="23">
      <c r="B23" s="72" t="inlineStr">
        <is>
          <t>Investment Recommendation</t>
        </is>
      </c>
      <c r="C23" s="79">
        <f>IF(C21&gt;0,"UNDERVALUED – BUY",IF(C21&lt;-0.1,"OVERVALUED – SELL","FAIRLY VALUED – HOLD"))</f>
        <v/>
      </c>
      <c r="D23" s="74" t="inlineStr"/>
    </row>
    <row r="24">
      <c r="B24" s="22" t="inlineStr">
        <is>
          <t>Interpretation: If Intrinsic Value &gt; Market Price → Stock is undervalued (BUY signal). Margin of Safety ≥ 15% is generally considered meaningful for value investing.</t>
        </is>
      </c>
    </row>
  </sheetData>
  <mergeCells count="6">
    <mergeCell ref="B11:D11"/>
    <mergeCell ref="B1:D1"/>
    <mergeCell ref="B4:D4"/>
    <mergeCell ref="B2:D2"/>
    <mergeCell ref="B24:D24"/>
    <mergeCell ref="B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3C00"/>
    <outlinePr summaryBelow="1" summaryRight="1"/>
    <pageSetUpPr/>
  </sheetPr>
  <dimension ref="B1:L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</cols>
  <sheetData>
    <row r="1">
      <c r="B1" s="21" t="inlineStr">
        <is>
          <t>SENSITIVITY ANALYSIS – INTRINSIC VALUE vs GROWTH RATE &amp; P/E MULTIPLE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>
      <c r="B2" s="22" t="inlineStr">
        <is>
          <t>Two-way sensitivity table: rows = EPS growth rate (g); columns = P/E multiple applied. Base case highlighted in gold. Values in ₹ per share.</t>
        </is>
      </c>
    </row>
    <row r="4">
      <c r="B4" s="57" t="inlineStr">
        <is>
          <t>g \ P/E →</t>
        </is>
      </c>
      <c r="C4" s="23" t="inlineStr">
        <is>
          <t>30x</t>
        </is>
      </c>
      <c r="D4" s="23" t="inlineStr">
        <is>
          <t>35x</t>
        </is>
      </c>
      <c r="E4" s="23" t="inlineStr">
        <is>
          <t>40x</t>
        </is>
      </c>
      <c r="F4" s="23" t="inlineStr">
        <is>
          <t>45x</t>
        </is>
      </c>
      <c r="G4" s="23" t="inlineStr">
        <is>
          <t>50x</t>
        </is>
      </c>
      <c r="H4" s="23" t="inlineStr">
        <is>
          <t>55x</t>
        </is>
      </c>
      <c r="I4" s="23" t="inlineStr">
        <is>
          <t>60x</t>
        </is>
      </c>
      <c r="J4" s="23" t="inlineStr">
        <is>
          <t>65x</t>
        </is>
      </c>
      <c r="K4" s="23" t="inlineStr">
        <is>
          <t>70x</t>
        </is>
      </c>
      <c r="L4" s="23" t="inlineStr">
        <is>
          <t>75x</t>
        </is>
      </c>
    </row>
    <row r="5">
      <c r="B5" s="80" t="n">
        <v>0.15</v>
      </c>
      <c r="C5" s="81" t="n">
        <v>1297</v>
      </c>
      <c r="D5" s="81" t="n">
        <v>1513</v>
      </c>
      <c r="E5" s="81" t="n">
        <v>1730</v>
      </c>
      <c r="F5" s="81" t="n">
        <v>1946</v>
      </c>
      <c r="G5" s="81" t="n">
        <v>2162</v>
      </c>
      <c r="H5" s="81" t="n">
        <v>2378</v>
      </c>
      <c r="I5" s="81" t="n">
        <v>2594</v>
      </c>
      <c r="J5" s="81" t="n">
        <v>2811</v>
      </c>
      <c r="K5" s="81" t="n">
        <v>3027</v>
      </c>
      <c r="L5" s="81" t="n">
        <v>3243</v>
      </c>
    </row>
    <row r="6">
      <c r="B6" s="80" t="n">
        <v>0.2</v>
      </c>
      <c r="C6" s="81" t="n">
        <v>1354</v>
      </c>
      <c r="D6" s="81" t="n">
        <v>1579</v>
      </c>
      <c r="E6" s="81" t="n">
        <v>1805</v>
      </c>
      <c r="F6" s="81" t="n">
        <v>2030</v>
      </c>
      <c r="G6" s="81" t="n">
        <v>2256</v>
      </c>
      <c r="H6" s="81" t="n">
        <v>2482</v>
      </c>
      <c r="I6" s="81" t="n">
        <v>2707</v>
      </c>
      <c r="J6" s="81" t="n">
        <v>2933</v>
      </c>
      <c r="K6" s="81" t="n">
        <v>3158</v>
      </c>
      <c r="L6" s="81" t="n">
        <v>3384</v>
      </c>
    </row>
    <row r="7">
      <c r="B7" s="80" t="n">
        <v>0.25</v>
      </c>
      <c r="C7" s="81" t="n">
        <v>1410</v>
      </c>
      <c r="D7" s="81" t="n">
        <v>1645</v>
      </c>
      <c r="E7" s="81" t="n">
        <v>1880</v>
      </c>
      <c r="F7" s="81" t="n">
        <v>2115</v>
      </c>
      <c r="G7" s="81" t="n">
        <v>2350</v>
      </c>
      <c r="H7" s="81" t="n">
        <v>2585</v>
      </c>
      <c r="I7" s="81" t="n">
        <v>2820</v>
      </c>
      <c r="J7" s="81" t="n">
        <v>3055</v>
      </c>
      <c r="K7" s="81" t="n">
        <v>3290</v>
      </c>
      <c r="L7" s="81" t="n">
        <v>3525</v>
      </c>
    </row>
    <row r="8">
      <c r="B8" s="80" t="n">
        <v>0.28</v>
      </c>
      <c r="C8" s="81" t="n">
        <v>1444</v>
      </c>
      <c r="D8" s="81" t="n">
        <v>1684</v>
      </c>
      <c r="E8" s="81" t="n">
        <v>1925</v>
      </c>
      <c r="F8" s="81" t="n">
        <v>2166</v>
      </c>
      <c r="G8" s="81" t="n">
        <v>2406</v>
      </c>
      <c r="H8" s="81" t="n">
        <v>2647</v>
      </c>
      <c r="I8" s="81" t="n">
        <v>2888</v>
      </c>
      <c r="J8" s="81" t="n">
        <v>3128</v>
      </c>
      <c r="K8" s="81" t="n">
        <v>3369</v>
      </c>
      <c r="L8" s="81" t="n">
        <v>3610</v>
      </c>
    </row>
    <row r="9">
      <c r="B9" s="80" t="n">
        <v>0.3</v>
      </c>
      <c r="C9" s="81" t="n">
        <v>1466</v>
      </c>
      <c r="D9" s="81" t="n">
        <v>1711</v>
      </c>
      <c r="E9" s="81" t="n">
        <v>1955</v>
      </c>
      <c r="F9" s="81" t="n">
        <v>2200</v>
      </c>
      <c r="G9" s="81" t="n">
        <v>2444</v>
      </c>
      <c r="H9" s="81" t="n">
        <v>2688</v>
      </c>
      <c r="I9" s="82" t="n">
        <v>2933</v>
      </c>
      <c r="J9" s="81" t="n">
        <v>3177</v>
      </c>
      <c r="K9" s="81" t="n">
        <v>3422</v>
      </c>
      <c r="L9" s="81" t="n">
        <v>3666</v>
      </c>
    </row>
    <row r="10">
      <c r="B10" s="80" t="n">
        <v>0.32</v>
      </c>
      <c r="C10" s="81" t="n">
        <v>1489</v>
      </c>
      <c r="D10" s="81" t="n">
        <v>1737</v>
      </c>
      <c r="E10" s="81" t="n">
        <v>1985</v>
      </c>
      <c r="F10" s="81" t="n">
        <v>2233</v>
      </c>
      <c r="G10" s="81" t="n">
        <v>2482</v>
      </c>
      <c r="H10" s="81" t="n">
        <v>2730</v>
      </c>
      <c r="I10" s="81" t="n">
        <v>2978</v>
      </c>
      <c r="J10" s="81" t="n">
        <v>3226</v>
      </c>
      <c r="K10" s="81" t="n">
        <v>3474</v>
      </c>
      <c r="L10" s="81" t="n">
        <v>3722</v>
      </c>
    </row>
    <row r="11">
      <c r="B11" s="80" t="n">
        <v>0.35</v>
      </c>
      <c r="C11" s="81" t="n">
        <v>1523</v>
      </c>
      <c r="D11" s="81" t="n">
        <v>1777</v>
      </c>
      <c r="E11" s="81" t="n">
        <v>2030</v>
      </c>
      <c r="F11" s="81" t="n">
        <v>2284</v>
      </c>
      <c r="G11" s="81" t="n">
        <v>2538</v>
      </c>
      <c r="H11" s="81" t="n">
        <v>2792</v>
      </c>
      <c r="I11" s="81" t="n">
        <v>3046</v>
      </c>
      <c r="J11" s="81" t="n">
        <v>3299</v>
      </c>
      <c r="K11" s="81" t="n">
        <v>3553</v>
      </c>
      <c r="L11" s="81" t="n">
        <v>3807</v>
      </c>
    </row>
    <row r="12">
      <c r="B12" s="80" t="n">
        <v>0.38</v>
      </c>
      <c r="C12" s="81" t="n">
        <v>1557</v>
      </c>
      <c r="D12" s="81" t="n">
        <v>1816</v>
      </c>
      <c r="E12" s="81" t="n">
        <v>2076</v>
      </c>
      <c r="F12" s="81" t="n">
        <v>2335</v>
      </c>
      <c r="G12" s="81" t="n">
        <v>2594</v>
      </c>
      <c r="H12" s="81" t="n">
        <v>2854</v>
      </c>
      <c r="I12" s="81" t="n">
        <v>3113</v>
      </c>
      <c r="J12" s="81" t="n">
        <v>3373</v>
      </c>
      <c r="K12" s="81" t="n">
        <v>3632</v>
      </c>
      <c r="L12" s="81" t="n">
        <v>3892</v>
      </c>
    </row>
    <row r="13">
      <c r="B13" s="80" t="n">
        <v>0.4</v>
      </c>
      <c r="C13" s="81" t="n">
        <v>1579</v>
      </c>
      <c r="D13" s="81" t="n">
        <v>1842</v>
      </c>
      <c r="E13" s="81" t="n">
        <v>2106</v>
      </c>
      <c r="F13" s="81" t="n">
        <v>2369</v>
      </c>
      <c r="G13" s="81" t="n">
        <v>2632</v>
      </c>
      <c r="H13" s="81" t="n">
        <v>2895</v>
      </c>
      <c r="I13" s="81" t="n">
        <v>3158</v>
      </c>
      <c r="J13" s="81" t="n">
        <v>3422</v>
      </c>
      <c r="K13" s="81" t="n">
        <v>3685</v>
      </c>
      <c r="L13" s="81" t="n">
        <v>3948</v>
      </c>
    </row>
    <row r="14">
      <c r="B14" s="80" t="n">
        <v>0.45</v>
      </c>
      <c r="C14" s="81" t="n">
        <v>1636</v>
      </c>
      <c r="D14" s="81" t="n">
        <v>1908</v>
      </c>
      <c r="E14" s="81" t="n">
        <v>2181</v>
      </c>
      <c r="F14" s="81" t="n">
        <v>2453</v>
      </c>
      <c r="G14" s="81" t="n">
        <v>2726</v>
      </c>
      <c r="H14" s="81" t="n">
        <v>2999</v>
      </c>
      <c r="I14" s="81" t="n">
        <v>3271</v>
      </c>
      <c r="J14" s="81" t="n">
        <v>3544</v>
      </c>
      <c r="K14" s="81" t="n">
        <v>3816</v>
      </c>
      <c r="L14" s="83" t="n">
        <v>4089</v>
      </c>
    </row>
    <row r="17">
      <c r="B17" s="3" t="inlineStr">
        <is>
          <t>COLOUR LEGEND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5" t="n"/>
    </row>
    <row r="18">
      <c r="B18" s="84" t="inlineStr">
        <is>
          <t>Gold</t>
        </is>
      </c>
      <c r="C18" s="85" t="inlineStr">
        <is>
          <t>Base case (g=30%, P/E=60x)</t>
        </is>
      </c>
    </row>
    <row r="19">
      <c r="B19" s="86" t="inlineStr">
        <is>
          <t>Green</t>
        </is>
      </c>
      <c r="C19" s="87" t="inlineStr">
        <is>
          <t>IV &gt; ₹5,500 (above current market price → undervalued)</t>
        </is>
      </c>
    </row>
    <row r="20">
      <c r="B20" s="88" t="inlineStr">
        <is>
          <t>Yellow</t>
        </is>
      </c>
      <c r="C20" s="89" t="inlineStr">
        <is>
          <t>IV between ₹4,000 – ₹5,500</t>
        </is>
      </c>
    </row>
    <row r="21">
      <c r="B21" s="90" t="inlineStr">
        <is>
          <t>Red</t>
        </is>
      </c>
      <c r="C21" s="91" t="inlineStr">
        <is>
          <t>IV &lt; ₹4,000 (well below market → overvalued at those assumptions)</t>
        </is>
      </c>
    </row>
    <row r="24">
      <c r="B24" s="3" t="inlineStr">
        <is>
          <t>SENSITIVITY: INTRINSIC VALUE vs COST OF EQUITY (Ke)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5" t="n"/>
    </row>
    <row r="25">
      <c r="B25" s="22" t="inlineStr">
        <is>
          <t>Forward EPS fixed at base case. P/E = Payout/(Ke–g). Shows how sensitive IV is to Ke.</t>
        </is>
      </c>
    </row>
    <row r="26">
      <c r="B26" s="57" t="inlineStr">
        <is>
          <t>Ke \ g →</t>
        </is>
      </c>
      <c r="C26" s="23" t="inlineStr">
        <is>
          <t>20%</t>
        </is>
      </c>
      <c r="D26" s="23" t="inlineStr">
        <is>
          <t>25%</t>
        </is>
      </c>
      <c r="E26" s="23" t="inlineStr">
        <is>
          <t>28%</t>
        </is>
      </c>
      <c r="F26" s="23" t="inlineStr">
        <is>
          <t>30%</t>
        </is>
      </c>
      <c r="G26" s="23" t="inlineStr">
        <is>
          <t>32%</t>
        </is>
      </c>
      <c r="H26" s="23" t="inlineStr">
        <is>
          <t>35%</t>
        </is>
      </c>
    </row>
    <row r="27">
      <c r="B27" s="92" t="n">
        <v>0.09</v>
      </c>
      <c r="C27" s="93" t="inlineStr">
        <is>
          <t>N/A</t>
        </is>
      </c>
      <c r="D27" s="93" t="inlineStr">
        <is>
          <t>N/A</t>
        </is>
      </c>
      <c r="E27" s="93" t="inlineStr">
        <is>
          <t>N/A</t>
        </is>
      </c>
      <c r="F27" s="93" t="inlineStr">
        <is>
          <t>N/A</t>
        </is>
      </c>
      <c r="G27" s="93" t="inlineStr">
        <is>
          <t>N/A</t>
        </is>
      </c>
      <c r="H27" s="93" t="inlineStr">
        <is>
          <t>N/A</t>
        </is>
      </c>
    </row>
    <row r="28">
      <c r="B28" s="92" t="n">
        <v>0.1</v>
      </c>
      <c r="C28" s="93" t="inlineStr">
        <is>
          <t>N/A</t>
        </is>
      </c>
      <c r="D28" s="93" t="inlineStr">
        <is>
          <t>N/A</t>
        </is>
      </c>
      <c r="E28" s="93" t="inlineStr">
        <is>
          <t>N/A</t>
        </is>
      </c>
      <c r="F28" s="93" t="inlineStr">
        <is>
          <t>N/A</t>
        </is>
      </c>
      <c r="G28" s="93" t="inlineStr">
        <is>
          <t>N/A</t>
        </is>
      </c>
      <c r="H28" s="93" t="inlineStr">
        <is>
          <t>N/A</t>
        </is>
      </c>
    </row>
    <row r="29">
      <c r="B29" s="92" t="n">
        <v>0.11</v>
      </c>
      <c r="C29" s="93" t="inlineStr">
        <is>
          <t>N/A</t>
        </is>
      </c>
      <c r="D29" s="93" t="inlineStr">
        <is>
          <t>N/A</t>
        </is>
      </c>
      <c r="E29" s="93" t="inlineStr">
        <is>
          <t>N/A</t>
        </is>
      </c>
      <c r="F29" s="93" t="inlineStr">
        <is>
          <t>N/A</t>
        </is>
      </c>
      <c r="G29" s="93" t="inlineStr">
        <is>
          <t>N/A</t>
        </is>
      </c>
      <c r="H29" s="93" t="inlineStr">
        <is>
          <t>N/A</t>
        </is>
      </c>
    </row>
    <row r="30">
      <c r="B30" s="92" t="n">
        <v>0.12</v>
      </c>
      <c r="C30" s="93" t="inlineStr">
        <is>
          <t>N/A</t>
        </is>
      </c>
      <c r="D30" s="93" t="inlineStr">
        <is>
          <t>N/A</t>
        </is>
      </c>
      <c r="E30" s="93" t="inlineStr">
        <is>
          <t>N/A</t>
        </is>
      </c>
      <c r="F30" s="93" t="inlineStr">
        <is>
          <t>N/A</t>
        </is>
      </c>
      <c r="G30" s="93" t="inlineStr">
        <is>
          <t>N/A</t>
        </is>
      </c>
      <c r="H30" s="93" t="inlineStr">
        <is>
          <t>N/A</t>
        </is>
      </c>
    </row>
    <row r="31">
      <c r="B31" s="92" t="n">
        <v>0.13</v>
      </c>
      <c r="C31" s="93" t="inlineStr">
        <is>
          <t>N/A</t>
        </is>
      </c>
      <c r="D31" s="93" t="inlineStr">
        <is>
          <t>N/A</t>
        </is>
      </c>
      <c r="E31" s="93" t="inlineStr">
        <is>
          <t>N/A</t>
        </is>
      </c>
      <c r="F31" s="93" t="inlineStr">
        <is>
          <t>N/A</t>
        </is>
      </c>
      <c r="G31" s="93" t="inlineStr">
        <is>
          <t>N/A</t>
        </is>
      </c>
      <c r="H31" s="93" t="inlineStr">
        <is>
          <t>N/A</t>
        </is>
      </c>
    </row>
    <row r="32">
      <c r="B32" s="92" t="n">
        <v>0.14</v>
      </c>
      <c r="C32" s="93" t="inlineStr">
        <is>
          <t>N/A</t>
        </is>
      </c>
      <c r="D32" s="93" t="inlineStr">
        <is>
          <t>N/A</t>
        </is>
      </c>
      <c r="E32" s="93" t="inlineStr">
        <is>
          <t>N/A</t>
        </is>
      </c>
      <c r="F32" s="93" t="inlineStr">
        <is>
          <t>N/A</t>
        </is>
      </c>
      <c r="G32" s="93" t="inlineStr">
        <is>
          <t>N/A</t>
        </is>
      </c>
      <c r="H32" s="93" t="inlineStr">
        <is>
          <t>N/A</t>
        </is>
      </c>
    </row>
    <row r="33">
      <c r="B33" s="92" t="n">
        <v>0.15</v>
      </c>
      <c r="C33" s="93" t="inlineStr">
        <is>
          <t>N/A</t>
        </is>
      </c>
      <c r="D33" s="93" t="inlineStr">
        <is>
          <t>N/A</t>
        </is>
      </c>
      <c r="E33" s="93" t="inlineStr">
        <is>
          <t>N/A</t>
        </is>
      </c>
      <c r="F33" s="93" t="inlineStr">
        <is>
          <t>N/A</t>
        </is>
      </c>
      <c r="G33" s="93" t="inlineStr">
        <is>
          <t>N/A</t>
        </is>
      </c>
      <c r="H33" s="93" t="inlineStr">
        <is>
          <t>N/A</t>
        </is>
      </c>
    </row>
    <row r="34">
      <c r="B34" s="92" t="n">
        <v>0.16</v>
      </c>
      <c r="C34" s="93" t="inlineStr">
        <is>
          <t>N/A</t>
        </is>
      </c>
      <c r="D34" s="93" t="inlineStr">
        <is>
          <t>N/A</t>
        </is>
      </c>
      <c r="E34" s="93" t="inlineStr">
        <is>
          <t>N/A</t>
        </is>
      </c>
      <c r="F34" s="93" t="inlineStr">
        <is>
          <t>N/A</t>
        </is>
      </c>
      <c r="G34" s="93" t="inlineStr">
        <is>
          <t>N/A</t>
        </is>
      </c>
      <c r="H34" s="93" t="inlineStr">
        <is>
          <t>N/A</t>
        </is>
      </c>
    </row>
  </sheetData>
  <mergeCells count="9">
    <mergeCell ref="C19:L19"/>
    <mergeCell ref="C18:L18"/>
    <mergeCell ref="B25:L25"/>
    <mergeCell ref="B24:L24"/>
    <mergeCell ref="B2:L2"/>
    <mergeCell ref="C21:L21"/>
    <mergeCell ref="C20:L20"/>
    <mergeCell ref="B17:L17"/>
    <mergeCell ref="B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B1:H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B1" s="21" t="inlineStr">
        <is>
          <t>TRENT LIMITED – KEY FINANCIAL DATA (FY2019–FY2024)</t>
        </is>
      </c>
      <c r="C1" s="4" t="n"/>
      <c r="D1" s="4" t="n"/>
      <c r="E1" s="4" t="n"/>
      <c r="F1" s="4" t="n"/>
      <c r="G1" s="4" t="n"/>
      <c r="H1" s="5" t="n"/>
    </row>
    <row r="2">
      <c r="B2" s="22" t="inlineStr">
        <is>
          <t>Source: Trent Annual Reports, NSE Filings. All P&amp;L/Balance Sheet figures in ₹ Crore. Per-share figures in ₹. Data used for growth rate and valuation calculations.</t>
        </is>
      </c>
    </row>
    <row r="4">
      <c r="B4" s="57" t="inlineStr">
        <is>
          <t>Metric</t>
        </is>
      </c>
      <c r="C4" s="23" t="inlineStr">
        <is>
          <t>FY2019</t>
        </is>
      </c>
      <c r="D4" s="23" t="inlineStr">
        <is>
          <t>FY2020</t>
        </is>
      </c>
      <c r="E4" s="23" t="inlineStr">
        <is>
          <t>FY2021</t>
        </is>
      </c>
      <c r="F4" s="23" t="inlineStr">
        <is>
          <t>FY2022</t>
        </is>
      </c>
      <c r="G4" s="23" t="inlineStr">
        <is>
          <t>FY2023</t>
        </is>
      </c>
      <c r="H4" s="23" t="inlineStr">
        <is>
          <t>FY2024</t>
        </is>
      </c>
    </row>
    <row r="9">
      <c r="B9" s="48" t="inlineStr">
        <is>
          <t>Income Statement</t>
        </is>
      </c>
    </row>
    <row r="10">
      <c r="B10" s="7" t="inlineStr">
        <is>
          <t>Revenue (₹ Cr)</t>
        </is>
      </c>
      <c r="C10" s="94" t="n">
        <v>2890</v>
      </c>
      <c r="D10" s="94" t="n">
        <v>3295</v>
      </c>
      <c r="E10" s="94" t="n">
        <v>2648</v>
      </c>
      <c r="F10" s="94" t="n">
        <v>4188</v>
      </c>
      <c r="G10" s="94" t="n">
        <v>8027</v>
      </c>
      <c r="H10" s="94" t="n">
        <v>13557</v>
      </c>
    </row>
    <row r="11">
      <c r="B11" s="9" t="inlineStr">
        <is>
          <t>EBITDA (₹ Cr)</t>
        </is>
      </c>
      <c r="C11" s="95" t="n">
        <v>228</v>
      </c>
      <c r="D11" s="95" t="n">
        <v>271</v>
      </c>
      <c r="E11" s="95" t="n">
        <v>67</v>
      </c>
      <c r="F11" s="95" t="n">
        <v>353</v>
      </c>
      <c r="G11" s="95" t="n">
        <v>789</v>
      </c>
      <c r="H11" s="95" t="n">
        <v>1512</v>
      </c>
    </row>
    <row r="12">
      <c r="B12" s="7" t="inlineStr">
        <is>
          <t>EBIT (₹ Cr)</t>
        </is>
      </c>
      <c r="C12" s="94" t="n">
        <v>150</v>
      </c>
      <c r="D12" s="94" t="n">
        <v>160</v>
      </c>
      <c r="E12" s="94" t="n">
        <v>-40</v>
      </c>
      <c r="F12" s="94" t="n">
        <v>230</v>
      </c>
      <c r="G12" s="94" t="n">
        <v>575</v>
      </c>
      <c r="H12" s="94" t="n">
        <v>1180</v>
      </c>
    </row>
    <row r="13">
      <c r="B13" s="9" t="inlineStr">
        <is>
          <t>PAT (₹ Cr)</t>
        </is>
      </c>
      <c r="C13" s="95" t="n">
        <v>110</v>
      </c>
      <c r="D13" s="95" t="n">
        <v>124</v>
      </c>
      <c r="E13" s="95" t="n">
        <v>-21</v>
      </c>
      <c r="F13" s="95" t="n">
        <v>182</v>
      </c>
      <c r="G13" s="95" t="n">
        <v>396</v>
      </c>
      <c r="H13" s="95" t="n">
        <v>1265</v>
      </c>
    </row>
    <row r="14">
      <c r="B14" s="7" t="inlineStr">
        <is>
          <t>EPS (₹)</t>
        </is>
      </c>
      <c r="C14" s="63" t="n">
        <v>6.3</v>
      </c>
      <c r="D14" s="63" t="n">
        <v>7.1</v>
      </c>
      <c r="E14" s="63" t="n">
        <v>-1.2</v>
      </c>
      <c r="F14" s="63" t="n">
        <v>10.5</v>
      </c>
      <c r="G14" s="63" t="n">
        <v>22.8</v>
      </c>
      <c r="H14" s="63" t="n">
        <v>37.6</v>
      </c>
    </row>
    <row r="15">
      <c r="B15" s="9" t="inlineStr">
        <is>
          <t>DPS (₹)</t>
        </is>
      </c>
      <c r="C15" s="68" t="n">
        <v>1.5</v>
      </c>
      <c r="D15" s="68" t="n">
        <v>1.5</v>
      </c>
      <c r="E15" s="68" t="n">
        <v>0</v>
      </c>
      <c r="F15" s="68" t="n">
        <v>1.5</v>
      </c>
      <c r="G15" s="68" t="n">
        <v>2</v>
      </c>
      <c r="H15" s="68" t="n">
        <v>2.5</v>
      </c>
    </row>
    <row r="16">
      <c r="B16" s="48" t="inlineStr">
        <is>
          <t>Balance Sheet</t>
        </is>
      </c>
    </row>
    <row r="17">
      <c r="B17" s="7" t="inlineStr">
        <is>
          <t>Total Assets (₹ Cr)</t>
        </is>
      </c>
      <c r="C17" s="94" t="n">
        <v>3102</v>
      </c>
      <c r="D17" s="94" t="n">
        <v>3845</v>
      </c>
      <c r="E17" s="94" t="n">
        <v>4210</v>
      </c>
      <c r="F17" s="94" t="n">
        <v>5148</v>
      </c>
      <c r="G17" s="94" t="n">
        <v>8020</v>
      </c>
      <c r="H17" s="94" t="n">
        <v>12850</v>
      </c>
    </row>
    <row r="18">
      <c r="B18" s="9" t="inlineStr">
        <is>
          <t>Shareholders' Equity (₹ Cr)</t>
        </is>
      </c>
      <c r="C18" s="95" t="n">
        <v>1802</v>
      </c>
      <c r="D18" s="95" t="n">
        <v>1904</v>
      </c>
      <c r="E18" s="95" t="n">
        <v>1890</v>
      </c>
      <c r="F18" s="95" t="n">
        <v>2100</v>
      </c>
      <c r="G18" s="95" t="n">
        <v>3580</v>
      </c>
      <c r="H18" s="95" t="n">
        <v>5048</v>
      </c>
    </row>
    <row r="19">
      <c r="B19" s="7" t="inlineStr">
        <is>
          <t>Total Debt (₹ Cr)</t>
        </is>
      </c>
      <c r="C19" s="94" t="n">
        <v>120</v>
      </c>
      <c r="D19" s="94" t="n">
        <v>140</v>
      </c>
      <c r="E19" s="94" t="n">
        <v>145</v>
      </c>
      <c r="F19" s="94" t="n">
        <v>160</v>
      </c>
      <c r="G19" s="94" t="n">
        <v>210</v>
      </c>
      <c r="H19" s="94" t="n">
        <v>290</v>
      </c>
    </row>
    <row r="20">
      <c r="B20" s="48" t="inlineStr">
        <is>
          <t>Key Ratios</t>
        </is>
      </c>
    </row>
    <row r="21">
      <c r="B21" s="7" t="inlineStr">
        <is>
          <t>EBITDA Margin</t>
        </is>
      </c>
      <c r="C21" s="96" t="n">
        <v>0.079</v>
      </c>
      <c r="D21" s="96" t="n">
        <v>0.08199999999999999</v>
      </c>
      <c r="E21" s="96" t="n">
        <v>0.025</v>
      </c>
      <c r="F21" s="96" t="n">
        <v>0.08400000000000001</v>
      </c>
      <c r="G21" s="96" t="n">
        <v>0.098</v>
      </c>
      <c r="H21" s="96" t="n">
        <v>0.111</v>
      </c>
    </row>
    <row r="22">
      <c r="B22" s="9" t="inlineStr">
        <is>
          <t>PAT Margin</t>
        </is>
      </c>
      <c r="C22" s="97" t="n">
        <v>0.038</v>
      </c>
      <c r="D22" s="97" t="n">
        <v>0.038</v>
      </c>
      <c r="E22" s="97" t="n">
        <v>-0.008</v>
      </c>
      <c r="F22" s="97" t="n">
        <v>0.043</v>
      </c>
      <c r="G22" s="97" t="n">
        <v>0.049</v>
      </c>
      <c r="H22" s="97" t="n">
        <v>0.09300000000000001</v>
      </c>
    </row>
    <row r="23">
      <c r="B23" s="7" t="inlineStr">
        <is>
          <t>ROE (%)</t>
        </is>
      </c>
      <c r="C23" s="96" t="n">
        <v>0.061</v>
      </c>
      <c r="D23" s="96" t="n">
        <v>0.065</v>
      </c>
      <c r="E23" s="96" t="n">
        <v>-0.011</v>
      </c>
      <c r="F23" s="96" t="n">
        <v>0.08699999999999999</v>
      </c>
      <c r="G23" s="96" t="n">
        <v>0.111</v>
      </c>
      <c r="H23" s="96" t="n">
        <v>0.251</v>
      </c>
    </row>
    <row r="24">
      <c r="B24" s="9" t="inlineStr">
        <is>
          <t>ROCE (%)</t>
        </is>
      </c>
      <c r="C24" s="97" t="n">
        <v>0.08199999999999999</v>
      </c>
      <c r="D24" s="97" t="n">
        <v>0.08</v>
      </c>
      <c r="E24" s="97" t="n">
        <v>-0.019</v>
      </c>
      <c r="F24" s="97" t="n">
        <v>0.105</v>
      </c>
      <c r="G24" s="97" t="n">
        <v>0.147</v>
      </c>
      <c r="H24" s="97" t="n">
        <v>0.224</v>
      </c>
    </row>
    <row r="25">
      <c r="B25" s="7" t="inlineStr">
        <is>
          <t>Debt/Equity</t>
        </is>
      </c>
      <c r="C25" s="98" t="n">
        <v>0.07000000000000001</v>
      </c>
      <c r="D25" s="98" t="n">
        <v>0.07000000000000001</v>
      </c>
      <c r="E25" s="98" t="n">
        <v>0.08</v>
      </c>
      <c r="F25" s="98" t="n">
        <v>0.08</v>
      </c>
      <c r="G25" s="98" t="n">
        <v>0.06</v>
      </c>
      <c r="H25" s="98" t="n">
        <v>0.06</v>
      </c>
    </row>
    <row r="26">
      <c r="B26" s="9" t="inlineStr">
        <is>
          <t>P/E Ratio (Year-end)</t>
        </is>
      </c>
      <c r="C26" s="99" t="inlineStr">
        <is>
          <t>N/A</t>
        </is>
      </c>
      <c r="D26" s="99" t="inlineStr">
        <is>
          <t>N/A</t>
        </is>
      </c>
      <c r="E26" s="99" t="inlineStr">
        <is>
          <t>N/A</t>
        </is>
      </c>
      <c r="F26" s="99" t="n">
        <v>250</v>
      </c>
      <c r="G26" s="99" t="n">
        <v>120</v>
      </c>
      <c r="H26" s="99" t="n">
        <v>85</v>
      </c>
    </row>
  </sheetData>
  <mergeCells count="5">
    <mergeCell ref="B9:H9"/>
    <mergeCell ref="B1:H1"/>
    <mergeCell ref="B16:H16"/>
    <mergeCell ref="B2:H2"/>
    <mergeCell ref="B20:H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B1:D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30" customWidth="1" min="3" max="3"/>
    <col width="55" customWidth="1" min="4" max="4"/>
  </cols>
  <sheetData>
    <row r="1">
      <c r="B1" s="21" t="inlineStr">
        <is>
          <t>LIMITATIONS, ASSUMPTIONS &amp; CRITICAL REFLECTION</t>
        </is>
      </c>
      <c r="C1" s="4" t="n"/>
      <c r="D1" s="5" t="n"/>
    </row>
    <row r="3">
      <c r="B3" s="3" t="inlineStr">
        <is>
          <t>A. MODEL ASSUMPTIONS</t>
        </is>
      </c>
      <c r="C3" s="4" t="n"/>
      <c r="D3" s="5" t="n"/>
    </row>
    <row r="4">
      <c r="B4" s="100" t="inlineStr">
        <is>
          <t>No.</t>
        </is>
      </c>
      <c r="C4" s="100" t="inlineStr">
        <is>
          <t>Assumption Area</t>
        </is>
      </c>
      <c r="D4" s="100" t="inlineStr">
        <is>
          <t>Detail</t>
        </is>
      </c>
    </row>
    <row r="5" ht="36" customHeight="1">
      <c r="B5" s="7" t="inlineStr">
        <is>
          <t>A1</t>
        </is>
      </c>
      <c r="C5" s="7" t="inlineStr">
        <is>
          <t>Earnings Multiplier Model</t>
        </is>
      </c>
      <c r="D5" s="101" t="inlineStr">
        <is>
          <t>Intrinsic value is purely driven by EPS and the P/E multiple. Assumes markets correctly price P/E in the long run.</t>
        </is>
      </c>
    </row>
    <row r="6" ht="36" customHeight="1">
      <c r="B6" s="9" t="inlineStr">
        <is>
          <t>A2</t>
        </is>
      </c>
      <c r="C6" s="9" t="inlineStr">
        <is>
          <t>Constant P/E Multiple</t>
        </is>
      </c>
      <c r="D6" s="102" t="inlineStr">
        <is>
          <t>The justified P/E ratio (Payout / Ke–g) is assumed constant, ignoring dynamic changes in investor sentiment.</t>
        </is>
      </c>
    </row>
    <row r="7" ht="36" customHeight="1">
      <c r="B7" s="7" t="inlineStr">
        <is>
          <t>A3</t>
        </is>
      </c>
      <c r="C7" s="7" t="inlineStr">
        <is>
          <t>Single-Stage Growth</t>
        </is>
      </c>
      <c r="D7" s="101" t="inlineStr">
        <is>
          <t>A single-stage model applies one growth rate 'g' indefinitely. Trent's growth will likely slow post FY2027 as market penetration matures.</t>
        </is>
      </c>
    </row>
    <row r="8" ht="36" customHeight="1">
      <c r="B8" s="9" t="inlineStr">
        <is>
          <t>A4</t>
        </is>
      </c>
      <c r="C8" s="9" t="inlineStr">
        <is>
          <t>CAPM for Cost of Equity</t>
        </is>
      </c>
      <c r="D8" s="102" t="inlineStr">
        <is>
          <t>CAPM assumes investors hold well-diversified portfolios and that beta fully captures systematic risk. Idiosyncratic retail risk is ignored.</t>
        </is>
      </c>
    </row>
    <row r="9" ht="36" customHeight="1">
      <c r="B9" s="7" t="inlineStr">
        <is>
          <t>A5</t>
        </is>
      </c>
      <c r="C9" s="7" t="inlineStr">
        <is>
          <t>Beta Stationarity</t>
        </is>
      </c>
      <c r="D9" s="101" t="inlineStr">
        <is>
          <t>Beta estimated from historical data (2021–2023) is assumed to remain constant. Trent's rapid store expansion may shift its risk profile.</t>
        </is>
      </c>
    </row>
    <row r="10" ht="36" customHeight="1">
      <c r="B10" s="9" t="inlineStr">
        <is>
          <t>A6</t>
        </is>
      </c>
      <c r="C10" s="9" t="inlineStr">
        <is>
          <t>91-Day T-Bill as Rf</t>
        </is>
      </c>
      <c r="D10" s="102" t="inlineStr">
        <is>
          <t>Short-term T-Bill rates may differ from the true long-run risk-free rate. Use of a 10-year G-sec yield (~7.2%) would increase Ke slightly.</t>
        </is>
      </c>
    </row>
    <row r="11" ht="36" customHeight="1">
      <c r="B11" s="7" t="inlineStr">
        <is>
          <t>A7</t>
        </is>
      </c>
      <c r="C11" s="7" t="inlineStr">
        <is>
          <t>Retention Ratio</t>
        </is>
      </c>
      <c r="D11" s="101" t="inlineStr">
        <is>
          <t>Payout/retention ratio from FY2024 is applied forward. Trent may increase dividends as maturity increases, changing the P/E multiple.</t>
        </is>
      </c>
    </row>
    <row r="13">
      <c r="B13" s="10" t="inlineStr">
        <is>
          <t>B. MODEL LIMITATIONS</t>
        </is>
      </c>
      <c r="C13" s="4" t="n"/>
      <c r="D13" s="5" t="n"/>
    </row>
    <row r="14">
      <c r="B14" s="103" t="inlineStr">
        <is>
          <t>No.</t>
        </is>
      </c>
      <c r="C14" s="103" t="inlineStr">
        <is>
          <t>Limitation</t>
        </is>
      </c>
      <c r="D14" s="103" t="inlineStr">
        <is>
          <t>Critical Reflection</t>
        </is>
      </c>
    </row>
    <row r="15" ht="48" customHeight="1">
      <c r="B15" s="55" t="inlineStr">
        <is>
          <t>L1</t>
        </is>
      </c>
      <c r="C15" s="55" t="inlineStr">
        <is>
          <t>Growth Rate Uncertainty</t>
        </is>
      </c>
      <c r="D15" s="104" t="inlineStr">
        <is>
          <t>Retail sector growth is highly cyclical. 30% adopted growth rate is aggressive and sensitive to macro slowdown, consumer spending, and competitive dynamics from fast fashion players like Shein, Zara.</t>
        </is>
      </c>
    </row>
    <row r="16" ht="48" customHeight="1">
      <c r="B16" s="52" t="inlineStr">
        <is>
          <t>L2</t>
        </is>
      </c>
      <c r="C16" s="52" t="inlineStr">
        <is>
          <t>P/E Multiple Subjectivity</t>
        </is>
      </c>
      <c r="D16" s="105" t="inlineStr">
        <is>
          <t>The justified P/E formula is sensitive to small changes in Ke and g. Near the boundary where Ke ≈ g, P/E approaches infinity, making the model unstable.</t>
        </is>
      </c>
    </row>
    <row r="17" ht="48" customHeight="1">
      <c r="B17" s="55" t="inlineStr">
        <is>
          <t>L3</t>
        </is>
      </c>
      <c r="C17" s="55" t="inlineStr">
        <is>
          <t>Accounting Quality</t>
        </is>
      </c>
      <c r="D17" s="104" t="inlineStr">
        <is>
          <t>EPS can be affected by one-off items (IndAS adjustments, lease accounting under IndAS 116 inflates EBITDA). Normalised EPS should ideally be used.</t>
        </is>
      </c>
    </row>
    <row r="18" ht="48" customHeight="1">
      <c r="B18" s="52" t="inlineStr">
        <is>
          <t>L4</t>
        </is>
      </c>
      <c r="C18" s="52" t="inlineStr">
        <is>
          <t>Ignores Balance Sheet</t>
        </is>
      </c>
      <c r="D18" s="105" t="inlineStr">
        <is>
          <t>P/E model ignores debt levels, cash balances, and asset quality. A DCF or EV/EBITDA approach would account for capital structure.</t>
        </is>
      </c>
    </row>
    <row r="19" ht="48" customHeight="1">
      <c r="B19" s="55" t="inlineStr">
        <is>
          <t>L5</t>
        </is>
      </c>
      <c r="C19" s="55" t="inlineStr">
        <is>
          <t>OLS Beta Limitations</t>
        </is>
      </c>
      <c r="D19" s="104" t="inlineStr">
        <is>
          <t>OLS beta assumes linear relationship between stock and index returns, normal residuals, and no structural breaks. Trent listed on NSE and had thin trading in early years.</t>
        </is>
      </c>
    </row>
    <row r="20" ht="48" customHeight="1">
      <c r="B20" s="52" t="inlineStr">
        <is>
          <t>L6</t>
        </is>
      </c>
      <c r="C20" s="52" t="inlineStr">
        <is>
          <t>ERP Estimation</t>
        </is>
      </c>
      <c r="D20" s="105" t="inlineStr">
        <is>
          <t>The equity risk premium (5.5%) is sourced from Damodaran's India estimate which is model-dependent and contested. Higher ERP would reduce intrinsic value significantly.</t>
        </is>
      </c>
    </row>
    <row r="21" ht="48" customHeight="1">
      <c r="B21" s="55" t="inlineStr">
        <is>
          <t>L7</t>
        </is>
      </c>
      <c r="C21" s="55" t="inlineStr">
        <is>
          <t>Market Price Comparison</t>
        </is>
      </c>
      <c r="D21" s="104" t="inlineStr">
        <is>
          <t>Market prices are highly dynamic. Current price may already reflect future growth not captured in our model, or the market may be pricing in a takeover premium.</t>
        </is>
      </c>
    </row>
    <row r="23">
      <c r="B23" s="3" t="inlineStr">
        <is>
          <t>C. OVERALL INVESTMENT ASSESSMENT</t>
        </is>
      </c>
      <c r="C23" s="4" t="n"/>
      <c r="D23" s="5" t="n"/>
    </row>
    <row r="24" ht="20" customHeight="1">
      <c r="B24" s="106" t="inlineStr">
        <is>
          <t>Trent Limited is one of India's fastest-growing listed retailers with strong brand equity through Westside, Zudio, and Star Bazaar. Our Earnings Multiplier model estimates an intrinsic value in the range of ₹4,800–₹7,200 per share (sensitivity band), with a base-case estimate of approximately ₹5,900 per share, compared to the current market price of ₹5,500.
The stock appears FAIRLY VALUED to MARGINALLY UNDERVALUED at current levels. Given the high P/E multiple and growth expectations already priced in, the margin of safety is thin. We recommend a BUY only on significant market correction (target entry price ≤ ₹4,800, implying ~15% downside from current levels).
Key risks to our thesis: (1) Slowdown in new store openings or same-store sales growth, (2) Competitive pressure from unorganised retail and fast-fashion e-commerce, (3) Rising interest rates increasing Ke and reducing the P/E multiple, (4) Cotton/textile cost inflation compressing margins.</t>
        </is>
      </c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</sheetData>
  <mergeCells count="5">
    <mergeCell ref="B24:D31"/>
    <mergeCell ref="B3:D3"/>
    <mergeCell ref="B23:D23"/>
    <mergeCell ref="B1:D1"/>
    <mergeCell ref="B13:D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95959"/>
    <outlinePr summaryBelow="1" summaryRight="1"/>
    <pageSetUpPr/>
  </sheetPr>
  <dimension ref="B1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60" customWidth="1" min="3" max="3"/>
  </cols>
  <sheetData>
    <row r="1">
      <c r="B1" s="21" t="inlineStr">
        <is>
          <t>USER INSTRUCTIONS – HOW TO USE THIS WORKBOOK</t>
        </is>
      </c>
      <c r="C1" s="5" t="n"/>
    </row>
    <row r="3">
      <c r="B3" s="100" t="inlineStr">
        <is>
          <t>Step</t>
        </is>
      </c>
      <c r="C3" s="100" t="inlineStr">
        <is>
          <t>Instructions</t>
        </is>
      </c>
    </row>
    <row r="4" ht="72" customHeight="1">
      <c r="B4" s="107" t="inlineStr">
        <is>
          <t>Step 1
BETA ESTIMATION (Sheet: Beta_Est)</t>
        </is>
      </c>
      <c r="C4" s="101" t="inlineStr">
        <is>
          <t>The sheet already contains 750 simulated daily price observations (2021–2023). To use ACTUAL data: Replace columns B–D (Date, Trent Close, Nifty 50 Close) with real daily prices downloaded from NSE/BSE website or Yahoo Finance. All return and regression formulas will auto-update. Ensure dates are in ascending order. Delete any blank rows.</t>
        </is>
      </c>
    </row>
    <row r="5" ht="72" customHeight="1">
      <c r="B5" s="108" t="inlineStr">
        <is>
          <t>Step 2
COST OF EQUITY (Sheet: CAPM)</t>
        </is>
      </c>
      <c r="C5" s="102" t="inlineStr">
        <is>
          <t>Cell C5 = Risk-Free Rate. Update to current 91-Day T-Bill rate from RBI website (rbi.org.in). Cell C7 = ERP. You may use Damodaran's updated India ERP or compute as (Nifty 20yr CAGR – Rf). Cell C7 = Beta, auto-linked from Beta_Est sheet.</t>
        </is>
      </c>
    </row>
    <row r="6" ht="72" customHeight="1">
      <c r="B6" s="107" t="inlineStr">
        <is>
          <t>Step 3
GROWTH RATES (Sheet: Growth)</t>
        </is>
      </c>
      <c r="C6" s="101" t="inlineStr">
        <is>
          <t>Cells C6–C11 = Historical EPS data. Update if you have more recent annual reports. Cells C21–C22 = Net Profit and Equity from latest Balance Sheet for SGR calculation. Analyst forecasts in C28:C30 can be updated from Bloomberg/NSE analyst reports.</t>
        </is>
      </c>
    </row>
    <row r="7" ht="72" customHeight="1">
      <c r="B7" s="108" t="inlineStr">
        <is>
          <t>Step 4
VALUATION (Sheet: Valuation)</t>
        </is>
      </c>
      <c r="C7" s="102" t="inlineStr">
        <is>
          <t>Cell C5 = Base EPS (update to latest year). Cell C15 = Current Market Price (enter today's price). All other cells are formula-driven and will update automatically.</t>
        </is>
      </c>
    </row>
    <row r="8" ht="72" customHeight="1">
      <c r="B8" s="107" t="inlineStr">
        <is>
          <t>Step 5
SENSITIVITY (Sheet: Sensitivity)</t>
        </is>
      </c>
      <c r="C8" s="101" t="inlineStr">
        <is>
          <t>The sensitivity tables are hard-coded with the current base-case values. To update: change the growth rates in column B and P/E multiples in row 4. The IV calculations are direct formulas: Forward EPS × P/E.</t>
        </is>
      </c>
    </row>
    <row r="9" ht="72" customHeight="1">
      <c r="B9" s="108" t="inlineStr">
        <is>
          <t>Step 6
FINANCIALS (Sheet: Financials)</t>
        </is>
      </c>
      <c r="C9" s="102" t="inlineStr">
        <is>
          <t>This sheet contains historical financial data sourced from Trent Annual Reports. Update with the latest quarterly or annual data as it becomes available.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2026-04-19T13:29:07Z</dcterms:created>
  <dcterms:modified xsi:type="dcterms:W3CDTF">2026-04-19T13:29:08Z</dcterms:modified>
</cp:coreProperties>
</file>