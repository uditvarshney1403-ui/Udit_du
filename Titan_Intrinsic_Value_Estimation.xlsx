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verview" sheetId="1" state="visible" r:id="rId1"/>
    <sheet name="2_CAPM &amp; Beta" sheetId="2" state="visible" r:id="rId2"/>
    <sheet name="3_Growth Rate" sheetId="3" state="visible" r:id="rId3"/>
    <sheet name="4_FCFE Valuation" sheetId="4" state="visible" r:id="rId4"/>
    <sheet name="5_Sensitivity" sheetId="5" state="visible" r:id="rId5"/>
    <sheet name="6_Assessment" sheetId="6" state="visible" r:id="rId6"/>
    <sheet name="Raw_Data" sheetId="7" state="visible" r:id="rId7"/>
    <sheet name="8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%"/>
    <numFmt numFmtId="165" formatCode="0.000"/>
    <numFmt numFmtId="166" formatCode="0.0000"/>
    <numFmt numFmtId="167" formatCode="0.0%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C9A645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i val="1"/>
      <sz val="10"/>
    </font>
    <font>
      <name val="Calibri"/>
      <i val="1"/>
      <color rgb="00595959"/>
      <sz val="9"/>
    </font>
    <font>
      <name val="Calibri"/>
      <sz val="10"/>
    </font>
    <font>
      <name val="Calibri"/>
      <b val="1"/>
      <color rgb="00FFFFFF"/>
      <sz val="14"/>
    </font>
    <font>
      <name val="Calibri"/>
      <i val="1"/>
      <color rgb="001F3864"/>
      <sz val="10"/>
    </font>
    <font>
      <name val="Calibri"/>
      <i val="1"/>
      <sz val="9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11"/>
    </font>
    <font>
      <name val="Calibri"/>
      <i val="1"/>
      <color rgb="00C00000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sz val="12"/>
    </font>
    <font>
      <name val="Calibri"/>
      <b val="1"/>
      <sz val="13"/>
    </font>
    <font>
      <name val="Calibri"/>
      <color rgb="009C0006"/>
      <sz val="10"/>
    </font>
    <font>
      <name val="Calibri"/>
      <color rgb="00375623"/>
      <sz val="9"/>
    </font>
    <font>
      <name val="Calibri"/>
      <color rgb="009C6500"/>
      <sz val="9"/>
    </font>
    <font>
      <name val="Calibri"/>
      <color rgb="009C0006"/>
      <sz val="9"/>
    </font>
    <font>
      <name val="Calibri"/>
      <i val="1"/>
      <color rgb="0017375E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17375E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E97132"/>
      </patternFill>
    </fill>
    <fill>
      <patternFill patternType="solid">
        <fgColor rgb="00D9D9D9"/>
      </patternFill>
    </fill>
    <fill>
      <patternFill patternType="solid">
        <fgColor rgb="00EAF0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right"/>
    </xf>
    <xf numFmtId="0" fontId="7" fillId="0" borderId="1" pivotButton="0" quotePrefix="0" xfId="0"/>
    <xf numFmtId="0" fontId="4" fillId="8" borderId="1" applyAlignment="1" pivotButton="0" quotePrefix="0" xfId="0">
      <alignment horizontal="left" vertical="center"/>
    </xf>
    <xf numFmtId="10" fontId="4" fillId="7" borderId="1" applyAlignment="1" pivotButton="0" quotePrefix="0" xfId="0">
      <alignment horizontal="right"/>
    </xf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7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4" fillId="8" borderId="1" pivotButton="0" quotePrefix="0" xfId="0"/>
    <xf numFmtId="164" fontId="4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 wrapText="1"/>
    </xf>
    <xf numFmtId="0" fontId="11" fillId="0" borderId="1" applyAlignment="1" pivotButton="0" quotePrefix="0" xfId="0">
      <alignment horizontal="left"/>
    </xf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12" fillId="10" borderId="1" applyAlignment="1" pivotButton="0" quotePrefix="0" xfId="0">
      <alignment horizontal="left" vertical="center"/>
    </xf>
    <xf numFmtId="10" fontId="13" fillId="11" borderId="1" applyAlignment="1" pivotButton="0" quotePrefix="0" xfId="0">
      <alignment horizontal="center"/>
    </xf>
    <xf numFmtId="165" fontId="0" fillId="0" borderId="1" pivotButton="0" quotePrefix="0" xfId="0"/>
    <xf numFmtId="0" fontId="3" fillId="1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4" fontId="15" fillId="0" borderId="1" applyAlignment="1" pivotButton="0" quotePrefix="0" xfId="0">
      <alignment horizontal="right"/>
    </xf>
    <xf numFmtId="10" fontId="15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4" fillId="11" borderId="1" pivotButton="0" quotePrefix="0" xfId="0"/>
    <xf numFmtId="10" fontId="16" fillId="11" borderId="1" applyAlignment="1" pivotButton="0" quotePrefix="0" xfId="0">
      <alignment horizontal="right"/>
    </xf>
    <xf numFmtId="0" fontId="17" fillId="0" borderId="1" pivotButton="0" quotePrefix="0" xfId="0"/>
    <xf numFmtId="0" fontId="4" fillId="9" borderId="1" pivotButton="0" quotePrefix="0" xfId="0"/>
    <xf numFmtId="10" fontId="16" fillId="9" borderId="1" applyAlignment="1" pivotButton="0" quotePrefix="0" xfId="0">
      <alignment horizontal="right"/>
    </xf>
    <xf numFmtId="0" fontId="8" fillId="5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0" fontId="18" fillId="0" borderId="1" applyAlignment="1" pivotButton="0" quotePrefix="0" xfId="0">
      <alignment horizontal="center"/>
    </xf>
    <xf numFmtId="0" fontId="8" fillId="8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/>
    </xf>
    <xf numFmtId="0" fontId="4" fillId="13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12" fillId="10" borderId="1" pivotButton="0" quotePrefix="0" xfId="0"/>
    <xf numFmtId="0" fontId="12" fillId="6" borderId="1" pivotButton="0" quotePrefix="0" xfId="0"/>
    <xf numFmtId="10" fontId="13" fillId="14" borderId="1" applyAlignment="1" pivotButton="0" quotePrefix="0" xfId="0">
      <alignment horizontal="center"/>
    </xf>
    <xf numFmtId="0" fontId="5" fillId="6" borderId="1" pivotButton="0" quotePrefix="0" xfId="0"/>
    <xf numFmtId="10" fontId="16" fillId="0" borderId="1" applyAlignment="1" pivotButton="0" quotePrefix="0" xfId="0">
      <alignment horizontal="right"/>
    </xf>
    <xf numFmtId="4" fontId="16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4" fillId="13" borderId="1" pivotButton="0" quotePrefix="0" xfId="0"/>
    <xf numFmtId="4" fontId="20" fillId="11" borderId="1" applyAlignment="1" pivotButton="0" quotePrefix="0" xfId="0">
      <alignment horizontal="right"/>
    </xf>
    <xf numFmtId="0" fontId="12" fillId="2" borderId="1" applyAlignment="1" pivotButton="0" quotePrefix="0" xfId="0">
      <alignment horizontal="center" vertical="center" wrapText="1"/>
    </xf>
    <xf numFmtId="4" fontId="8" fillId="8" borderId="1" applyAlignment="1" pivotButton="0" quotePrefix="0" xfId="0">
      <alignment horizontal="right"/>
    </xf>
    <xf numFmtId="0" fontId="16" fillId="11" borderId="1" applyAlignment="1" pivotButton="0" quotePrefix="0" xfId="0">
      <alignment horizontal="left" vertical="center"/>
    </xf>
    <xf numFmtId="4" fontId="21" fillId="11" borderId="1" applyAlignment="1" pivotButton="0" quotePrefix="0" xfId="0">
      <alignment horizontal="right"/>
    </xf>
    <xf numFmtId="10" fontId="8" fillId="7" borderId="1" applyAlignment="1" pivotButton="0" quotePrefix="0" xfId="0">
      <alignment horizontal="right"/>
    </xf>
    <xf numFmtId="0" fontId="12" fillId="1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9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/>
    </xf>
    <xf numFmtId="3" fontId="22" fillId="15" borderId="1" applyAlignment="1" pivotButton="0" quotePrefix="0" xfId="0">
      <alignment horizontal="right"/>
    </xf>
    <xf numFmtId="0" fontId="23" fillId="16" borderId="1" applyAlignment="1" pivotButton="0" quotePrefix="0" xfId="0">
      <alignment horizontal="center"/>
    </xf>
    <xf numFmtId="0" fontId="24" fillId="17" borderId="1" applyAlignment="1" pivotButton="0" quotePrefix="0" xfId="0">
      <alignment horizontal="center"/>
    </xf>
    <xf numFmtId="0" fontId="25" fillId="15" borderId="1" applyAlignment="1" pivotButton="0" quotePrefix="0" xfId="0">
      <alignment horizontal="center"/>
    </xf>
    <xf numFmtId="167" fontId="5" fillId="4" borderId="1" applyAlignment="1" pivotButton="0" quotePrefix="0" xfId="0">
      <alignment horizontal="center" vertical="center" wrapText="1"/>
    </xf>
    <xf numFmtId="0" fontId="26" fillId="0" borderId="1" pivotButton="0" quotePrefix="0" xfId="0"/>
    <xf numFmtId="0" fontId="8" fillId="5" borderId="1" applyAlignment="1" pivotButton="0" quotePrefix="0" xfId="0">
      <alignment horizontal="left"/>
    </xf>
    <xf numFmtId="0" fontId="8" fillId="5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0" fontId="8" fillId="8" borderId="1" applyAlignment="1" pivotButton="0" quotePrefix="0" xfId="0">
      <alignment horizontal="left"/>
    </xf>
    <xf numFmtId="0" fontId="8" fillId="8" borderId="1" applyAlignment="1" pivotButton="0" quotePrefix="0" xfId="0">
      <alignment horizontal="right"/>
    </xf>
    <xf numFmtId="3" fontId="8" fillId="8" borderId="1" applyAlignment="1" pivotButton="0" quotePrefix="0" xfId="0">
      <alignment horizontal="right"/>
    </xf>
    <xf numFmtId="4" fontId="16" fillId="11" borderId="1" pivotButton="0" quotePrefix="0" xfId="0"/>
    <xf numFmtId="10" fontId="16" fillId="11" borderId="1" pivotButton="0" quotePrefix="0" xfId="0"/>
    <xf numFmtId="0" fontId="8" fillId="8" borderId="1" pivotButton="0" quotePrefix="0" xfId="0"/>
    <xf numFmtId="0" fontId="3" fillId="18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right"/>
    </xf>
    <xf numFmtId="0" fontId="17" fillId="9" borderId="1" applyAlignment="1" pivotButton="0" quotePrefix="0" xfId="0">
      <alignment horizontal="left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Tornado Chart – IV Sensitivity (₹ Swing)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'5_Sensitivity'!H30</f>
            </strRef>
          </tx>
          <spPr>
            <a:ln>
              <a:prstDash val="solid"/>
            </a:ln>
          </spPr>
          <cat>
            <numRef>
              <f>'5_Sensitivity'!$B$31:$B$35</f>
            </numRef>
          </cat>
          <val>
            <numRef>
              <f>'5_Sensitivity'!$H$31:$H$35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IV Swing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Variable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Titan EPS History (FY2019–FY2024)</a:t>
            </a:r>
          </a:p>
        </rich>
      </tx>
    </title>
    <plotArea>
      <lineChart>
        <grouping val="standard"/>
        <ser>
          <idx val="0"/>
          <order val="0"/>
          <tx>
            <strRef>
              <f>'8_Charts'!C4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'8_Charts'!$B$5:$B$10</f>
            </numRef>
          </cat>
          <val>
            <numRef>
              <f>'8_Charts'!$C$5:$C$10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EPS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Titan FCFE Projection – Two-Stage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'8_Charts'!C28</f>
            </strRef>
          </tx>
          <spPr>
            <a:ln>
              <a:prstDash val="solid"/>
            </a:ln>
          </spPr>
          <cat>
            <numRef>
              <f>'8_Charts'!$B$29:$B$34</f>
            </numRef>
          </cat>
          <val>
            <numRef>
              <f>'8_Charts'!$C$29:$C$34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FCFE (₹/sh)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40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22" customWidth="1" min="4" max="4"/>
    <col width="24" customWidth="1" min="5" max="5"/>
    <col width="18" customWidth="1" min="6" max="6"/>
  </cols>
  <sheetData>
    <row r="1" ht="40" customHeight="1">
      <c r="A1" s="1" t="inlineStr">
        <is>
          <t>🏢  TITAN COMPANY LIMITED – INTRINSIC VALUE ESTIMATION</t>
        </is>
      </c>
    </row>
    <row r="2" ht="20" customHeight="1">
      <c r="A2" s="2" t="inlineStr">
        <is>
          <t>NSE: TITAN  |  BSE: 500114  |  Sector: Consumer Discretionary – Jewellery / Watches / Eyewear</t>
        </is>
      </c>
    </row>
    <row r="4">
      <c r="B4" s="3" t="inlineStr">
        <is>
          <t>COMPANY PROFILE</t>
        </is>
      </c>
    </row>
    <row r="5">
      <c r="B5" s="4" t="inlineStr">
        <is>
          <t>Company Name</t>
        </is>
      </c>
      <c r="C5" s="5" t="inlineStr">
        <is>
          <t>Titan Company Limited</t>
        </is>
      </c>
      <c r="D5" s="6" t="n"/>
      <c r="E5" s="7" t="n"/>
    </row>
    <row r="6">
      <c r="B6" s="4" t="inlineStr">
        <is>
          <t>NSE Symbol</t>
        </is>
      </c>
      <c r="C6" s="5" t="inlineStr">
        <is>
          <t>TITAN</t>
        </is>
      </c>
      <c r="D6" s="6" t="n"/>
      <c r="E6" s="7" t="n"/>
    </row>
    <row r="7">
      <c r="B7" s="4" t="inlineStr">
        <is>
          <t>BSE Code</t>
        </is>
      </c>
      <c r="C7" s="5" t="inlineStr">
        <is>
          <t>500114</t>
        </is>
      </c>
      <c r="D7" s="6" t="n"/>
      <c r="E7" s="7" t="n"/>
    </row>
    <row r="8">
      <c r="B8" s="4" t="inlineStr">
        <is>
          <t>Sector</t>
        </is>
      </c>
      <c r="C8" s="5" t="inlineStr">
        <is>
          <t>Consumer Discretionary</t>
        </is>
      </c>
      <c r="D8" s="6" t="n"/>
      <c r="E8" s="7" t="n"/>
    </row>
    <row r="9">
      <c r="B9" s="4" t="inlineStr">
        <is>
          <t>Industry</t>
        </is>
      </c>
      <c r="C9" s="5" t="inlineStr">
        <is>
          <t>Jewellery / Watches / Eyewear</t>
        </is>
      </c>
      <c r="D9" s="6" t="n"/>
      <c r="E9" s="7" t="n"/>
    </row>
    <row r="10">
      <c r="B10" s="4" t="inlineStr">
        <is>
          <t>Market Cap (₹ Cr)</t>
        </is>
      </c>
      <c r="C10" s="5" t="inlineStr">
        <is>
          <t>~2,90,000</t>
        </is>
      </c>
      <c r="D10" s="6" t="n"/>
      <c r="E10" s="7" t="n"/>
    </row>
    <row r="11">
      <c r="B11" s="4" t="inlineStr">
        <is>
          <t>Face Value (₹)</t>
        </is>
      </c>
      <c r="C11" s="5" t="inlineStr">
        <is>
          <t>1</t>
        </is>
      </c>
      <c r="D11" s="6" t="n"/>
      <c r="E11" s="7" t="n"/>
    </row>
    <row r="12">
      <c r="B12" s="4" t="inlineStr">
        <is>
          <t>52-Week High (₹)</t>
        </is>
      </c>
      <c r="C12" s="5" t="inlineStr">
        <is>
          <t>3,888</t>
        </is>
      </c>
      <c r="D12" s="6" t="n"/>
      <c r="E12" s="7" t="n"/>
    </row>
    <row r="13">
      <c r="B13" s="4" t="inlineStr">
        <is>
          <t>52-Week Low (₹)</t>
        </is>
      </c>
      <c r="C13" s="5" t="inlineStr">
        <is>
          <t>2,781</t>
        </is>
      </c>
      <c r="D13" s="6" t="n"/>
      <c r="E13" s="7" t="n"/>
    </row>
    <row r="14">
      <c r="B14" s="4" t="inlineStr">
        <is>
          <t>Current Market Price (₹)</t>
        </is>
      </c>
      <c r="C14" s="5">
        <f>D20</f>
        <v/>
      </c>
      <c r="D14" s="6" t="n"/>
      <c r="E14" s="7" t="n"/>
    </row>
    <row r="16">
      <c r="B16" s="8" t="inlineStr">
        <is>
          <t>KEY ASSUMPTIONS &amp; MODEL INPUTS  (yellow cells = editable)</t>
        </is>
      </c>
    </row>
    <row r="17">
      <c r="B17" s="9" t="inlineStr">
        <is>
          <t>Parameter</t>
        </is>
      </c>
      <c r="C17" s="10" t="inlineStr">
        <is>
          <t>Symbol</t>
        </is>
      </c>
      <c r="D17" s="10" t="inlineStr">
        <is>
          <t>Value (Edit)</t>
        </is>
      </c>
      <c r="E17" s="10" t="inlineStr">
        <is>
          <t>Unit / Source</t>
        </is>
      </c>
    </row>
    <row r="18">
      <c r="B18" s="4" t="inlineStr">
        <is>
          <t>Current Market Price (₹)</t>
        </is>
      </c>
      <c r="C18" s="11" t="inlineStr">
        <is>
          <t>CMP</t>
        </is>
      </c>
      <c r="D18" s="12" t="n">
        <v>3450</v>
      </c>
      <c r="E18" s="13" t="inlineStr">
        <is>
          <t>₹/share – NSE Apr 2025</t>
        </is>
      </c>
    </row>
    <row r="19">
      <c r="B19" s="14" t="inlineStr">
        <is>
          <t>91-Day T-Bill Rate (Rf)</t>
        </is>
      </c>
      <c r="C19" s="11" t="inlineStr">
        <is>
          <t>Rf</t>
        </is>
      </c>
      <c r="D19" s="15" t="n">
        <v>0.0684</v>
      </c>
      <c r="E19" s="13" t="inlineStr">
        <is>
          <t>Decimal – RBI Apr 2025</t>
        </is>
      </c>
    </row>
    <row r="20">
      <c r="B20" s="4" t="inlineStr">
        <is>
          <t>Market Risk Premium</t>
        </is>
      </c>
      <c r="C20" s="11" t="inlineStr">
        <is>
          <t>MRP</t>
        </is>
      </c>
      <c r="D20" s="15" t="n">
        <v>0.065</v>
      </c>
      <c r="E20" s="13" t="inlineStr">
        <is>
          <t>Historical Nifty 50 excess return</t>
        </is>
      </c>
    </row>
    <row r="21">
      <c r="B21" s="14" t="inlineStr">
        <is>
          <t>Beta (OLS – Sheet 2)</t>
        </is>
      </c>
      <c r="C21" s="11" t="inlineStr">
        <is>
          <t>β</t>
        </is>
      </c>
      <c r="D21" s="12">
        <f>'2_CAPM &amp; Beta'!C44</f>
        <v/>
      </c>
      <c r="E21" s="13" t="inlineStr">
        <is>
          <t>See Sheet 2 – Blume adjusted</t>
        </is>
      </c>
    </row>
    <row r="22">
      <c r="B22" s="4" t="inlineStr">
        <is>
          <t>Cost of Equity (CAPM)</t>
        </is>
      </c>
      <c r="C22" s="11" t="inlineStr">
        <is>
          <t>Ke</t>
        </is>
      </c>
      <c r="D22" s="15">
        <f>D19+(D21*D20)</f>
        <v/>
      </c>
      <c r="E22" s="13" t="inlineStr">
        <is>
          <t>Ke = Rf + β × MRP</t>
        </is>
      </c>
    </row>
    <row r="23">
      <c r="B23" s="14" t="inlineStr">
        <is>
          <t>High-Growth Rate (g1)</t>
        </is>
      </c>
      <c r="C23" s="11" t="inlineStr">
        <is>
          <t>g₁</t>
        </is>
      </c>
      <c r="D23" s="15">
        <f>'3_Growth Rate'!C42</f>
        <v/>
      </c>
      <c r="E23" s="13" t="inlineStr">
        <is>
          <t>Justified in Sheet 3</t>
        </is>
      </c>
    </row>
    <row r="24">
      <c r="B24" s="4" t="inlineStr">
        <is>
          <t>Terminal Growth Rate (g)</t>
        </is>
      </c>
      <c r="C24" s="11" t="inlineStr">
        <is>
          <t>g</t>
        </is>
      </c>
      <c r="D24" s="15">
        <f>'3_Growth Rate'!C44</f>
        <v/>
      </c>
      <c r="E24" s="13" t="inlineStr">
        <is>
          <t>India long-run nominal GDP ~7%</t>
        </is>
      </c>
    </row>
    <row r="25">
      <c r="B25" s="14" t="inlineStr">
        <is>
          <t>High-Growth Period</t>
        </is>
      </c>
      <c r="C25" s="11" t="inlineStr">
        <is>
          <t>n</t>
        </is>
      </c>
      <c r="D25" s="12" t="n">
        <v>5</v>
      </c>
      <c r="E25" s="13" t="inlineStr">
        <is>
          <t>Years</t>
        </is>
      </c>
    </row>
    <row r="26">
      <c r="B26" s="4" t="inlineStr">
        <is>
          <t>EPS FY2024 (₹)</t>
        </is>
      </c>
      <c r="C26" s="11" t="inlineStr">
        <is>
          <t>EPS₀</t>
        </is>
      </c>
      <c r="D26" s="12" t="n">
        <v>72.09999999999999</v>
      </c>
      <c r="E26" s="13" t="inlineStr">
        <is>
          <t>Titan Annual Report FY2024</t>
        </is>
      </c>
    </row>
    <row r="27">
      <c r="B27" s="14" t="inlineStr">
        <is>
          <t>DPS FY2024 (₹)</t>
        </is>
      </c>
      <c r="C27" s="11" t="inlineStr">
        <is>
          <t>DPS₀</t>
        </is>
      </c>
      <c r="D27" s="12" t="n">
        <v>10</v>
      </c>
      <c r="E27" s="13" t="inlineStr">
        <is>
          <t>Titan Annual Report FY2024</t>
        </is>
      </c>
    </row>
    <row r="28">
      <c r="B28" s="4" t="inlineStr">
        <is>
          <t>Payout Ratio</t>
        </is>
      </c>
      <c r="C28" s="11" t="inlineStr">
        <is>
          <t>PR</t>
        </is>
      </c>
      <c r="D28" s="12">
        <f>D28/D27</f>
        <v/>
      </c>
      <c r="E28" s="13" t="inlineStr">
        <is>
          <t>DPS₀/EPS₀</t>
        </is>
      </c>
    </row>
    <row r="29">
      <c r="B29" s="14" t="inlineStr">
        <is>
          <t>Retention Ratio</t>
        </is>
      </c>
      <c r="C29" s="11" t="inlineStr">
        <is>
          <t>b</t>
        </is>
      </c>
      <c r="D29" s="15">
        <f>1-D29</f>
        <v/>
      </c>
      <c r="E29" s="13" t="inlineStr">
        <is>
          <t>1 − PR</t>
        </is>
      </c>
    </row>
    <row r="30">
      <c r="B30" s="4" t="inlineStr">
        <is>
          <t>ROE (FY2024)</t>
        </is>
      </c>
      <c r="C30" s="11" t="inlineStr">
        <is>
          <t>ROE</t>
        </is>
      </c>
      <c r="D30" s="15" t="n">
        <v>0.268</v>
      </c>
      <c r="E30" s="13" t="inlineStr">
        <is>
          <t>PAT/Avg Equity – Annual Report</t>
        </is>
      </c>
    </row>
    <row r="31">
      <c r="B31" s="14" t="inlineStr">
        <is>
          <t>FCFE₀ per Share (₹)</t>
        </is>
      </c>
      <c r="C31" s="11" t="inlineStr">
        <is>
          <t>FCFE₀</t>
        </is>
      </c>
      <c r="D31" s="15" t="n">
        <v>38.5</v>
      </c>
      <c r="E31" s="13" t="inlineStr">
        <is>
          <t>Computed in Sheet 4</t>
        </is>
      </c>
    </row>
    <row r="32">
      <c r="B32" s="4" t="inlineStr">
        <is>
          <t>Shares Outstanding (Cr)</t>
        </is>
      </c>
      <c r="C32" s="11" t="inlineStr">
        <is>
          <t>N</t>
        </is>
      </c>
      <c r="D32" s="12" t="n">
        <v>88.84</v>
      </c>
      <c r="E32" s="13" t="inlineStr">
        <is>
          <t>BSE filings</t>
        </is>
      </c>
    </row>
    <row r="33">
      <c r="B33" s="14" t="inlineStr">
        <is>
          <t>Net Income FY2024 (₹ Cr)</t>
        </is>
      </c>
      <c r="C33" s="11" t="inlineStr">
        <is>
          <t>NI</t>
        </is>
      </c>
      <c r="D33" s="12" t="n">
        <v>3496</v>
      </c>
      <c r="E33" s="13" t="inlineStr">
        <is>
          <t>P&amp;L Statement</t>
        </is>
      </c>
    </row>
    <row r="34">
      <c r="B34" s="4" t="inlineStr">
        <is>
          <t>Capex FY2024 (₹ Cr)</t>
        </is>
      </c>
      <c r="C34" s="11" t="inlineStr">
        <is>
          <t>Capex</t>
        </is>
      </c>
      <c r="D34" s="12" t="n">
        <v>820</v>
      </c>
      <c r="E34" s="13" t="inlineStr">
        <is>
          <t>Cash Flow Statement</t>
        </is>
      </c>
    </row>
    <row r="35">
      <c r="B35" s="14" t="inlineStr">
        <is>
          <t>Depreciation FY2024 (₹ Cr)</t>
        </is>
      </c>
      <c r="C35" s="11" t="inlineStr">
        <is>
          <t>Dep</t>
        </is>
      </c>
      <c r="D35" s="12" t="n">
        <v>385</v>
      </c>
      <c r="E35" s="13" t="inlineStr">
        <is>
          <t>Cash Flow Statement</t>
        </is>
      </c>
    </row>
    <row r="36">
      <c r="B36" s="4" t="inlineStr">
        <is>
          <t>ΔWorking Capital (₹ Cr)</t>
        </is>
      </c>
      <c r="C36" s="11" t="inlineStr">
        <is>
          <t>ΔWC</t>
        </is>
      </c>
      <c r="D36" s="12" t="n">
        <v>1240</v>
      </c>
      <c r="E36" s="13" t="inlineStr">
        <is>
          <t>Cash Flow Statement</t>
        </is>
      </c>
    </row>
    <row r="37">
      <c r="B37" s="14" t="inlineStr">
        <is>
          <t>Net Borrowings (₹ Cr)</t>
        </is>
      </c>
      <c r="C37" s="11" t="inlineStr">
        <is>
          <t>ΔD</t>
        </is>
      </c>
      <c r="D37" s="12" t="n">
        <v>180</v>
      </c>
      <c r="E37" s="13" t="inlineStr">
        <is>
          <t>Balance Sheet</t>
        </is>
      </c>
    </row>
    <row r="38">
      <c r="B38" s="4" t="inlineStr">
        <is>
          <t>Debt-to-Equity Ratio</t>
        </is>
      </c>
      <c r="C38" s="11" t="inlineStr">
        <is>
          <t>D/E</t>
        </is>
      </c>
      <c r="D38" s="12" t="n">
        <v>0.12</v>
      </c>
      <c r="E38" s="13" t="inlineStr">
        <is>
          <t>Balance Sheet</t>
        </is>
      </c>
    </row>
    <row r="41">
      <c r="B41" s="8" t="inlineStr">
        <is>
          <t>VALUATION MODEL JUSTIFICATION</t>
        </is>
      </c>
    </row>
    <row r="42">
      <c r="B42" s="10" t="inlineStr">
        <is>
          <t>Factor</t>
        </is>
      </c>
      <c r="C42" s="10" t="inlineStr">
        <is>
          <t>Explanation</t>
        </is>
      </c>
    </row>
    <row r="43" ht="32" customHeight="1">
      <c r="B43" s="4" t="inlineStr">
        <is>
          <t>Chosen Model</t>
        </is>
      </c>
      <c r="C43" s="16" t="inlineStr">
        <is>
          <t>FCFE (Free Cash Flow to Equity) – Two-Stage DCF</t>
        </is>
      </c>
      <c r="D43" s="6" t="n"/>
      <c r="E43" s="7" t="n"/>
    </row>
    <row r="44" ht="32" customHeight="1">
      <c r="B44" s="14" t="inlineStr">
        <is>
          <t>Why FCFE over DDM?</t>
        </is>
      </c>
      <c r="C44" s="16" t="inlineStr">
        <is>
          <t>Titan's dividend payout is ~14%. DDM drastically undervalues the firm. FCFE captures all cash available to equity holders, not just dividends paid.</t>
        </is>
      </c>
      <c r="D44" s="6" t="n"/>
      <c r="E44" s="7" t="n"/>
    </row>
    <row r="45" ht="32" customHeight="1">
      <c r="B45" s="4" t="inlineStr">
        <is>
          <t>Why FCFE over P/E?</t>
        </is>
      </c>
      <c r="C45" s="16" t="inlineStr">
        <is>
          <t>Earnings multiplier is market-sentiment driven and doesn't capture capital allocation quality. DCF is theoretically superior for intrinsic value.</t>
        </is>
      </c>
      <c r="D45" s="6" t="n"/>
      <c r="E45" s="7" t="n"/>
    </row>
    <row r="46" ht="32" customHeight="1">
      <c r="B46" s="14" t="inlineStr">
        <is>
          <t>Two-Stage Rationale</t>
        </is>
      </c>
      <c r="C46" s="16" t="inlineStr">
        <is>
          <t>Phase 1 (5 yrs): High growth via jewellery/watches penetration. Phase 2: Terminal rate = India's long-run nominal GDP growth (~7%).</t>
        </is>
      </c>
      <c r="D46" s="6" t="n"/>
      <c r="E46" s="7" t="n"/>
    </row>
    <row r="47" ht="32" customHeight="1">
      <c r="B47" s="4" t="inlineStr">
        <is>
          <t>Model Limitation Note</t>
        </is>
      </c>
      <c r="C47" s="16" t="inlineStr">
        <is>
          <t>FCFE is sensitive to capex and working capital assumptions. Terminal value dominates (~65%). Results should be treated as a range, not a point estimate.</t>
        </is>
      </c>
      <c r="D47" s="6" t="n"/>
      <c r="E47" s="7" t="n"/>
    </row>
  </sheetData>
  <mergeCells count="20">
    <mergeCell ref="C44:E44"/>
    <mergeCell ref="C47:E47"/>
    <mergeCell ref="C9:E9"/>
    <mergeCell ref="C43:E43"/>
    <mergeCell ref="C12:E12"/>
    <mergeCell ref="C46:E46"/>
    <mergeCell ref="A2:F2"/>
    <mergeCell ref="B41:E41"/>
    <mergeCell ref="C11:E11"/>
    <mergeCell ref="B4:E4"/>
    <mergeCell ref="C8:E8"/>
    <mergeCell ref="B16:E16"/>
    <mergeCell ref="C7:E7"/>
    <mergeCell ref="C13:E13"/>
    <mergeCell ref="C6:E6"/>
    <mergeCell ref="C14:E14"/>
    <mergeCell ref="C5:E5"/>
    <mergeCell ref="C45:E45"/>
    <mergeCell ref="A1:F1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8" customHeight="1">
      <c r="A1" s="17" t="inlineStr">
        <is>
          <t>CAPM BETA ESTIMATION – OLS Regression of Daily Returns (TITAN vs Nifty 50)</t>
        </is>
      </c>
    </row>
    <row r="2" ht="50" customHeight="1">
      <c r="B2" s="18" t="inlineStr">
        <is>
          <t>📌  INSTRUCTIONS: Paste 3+ years (756+ trading days) of daily TITAN and Nifty 50 closing prices into the 'Raw_Data' sheet (columns B &amp; C). Daily returns are computed as (Pt/Pt-1)−1. All regression statistics below use SLOPE, INTERCEPT, CORREL, RSQ functions and auto-update when Raw_Data is populated.</t>
        </is>
      </c>
    </row>
    <row r="3"/>
    <row r="4"/>
    <row r="6">
      <c r="B6" s="8" t="inlineStr">
        <is>
          <t>OLS REGRESSION – THEORETICAL FRAMEWORK</t>
        </is>
      </c>
    </row>
    <row r="7">
      <c r="B7" s="10" t="inlineStr">
        <is>
          <t>Concept</t>
        </is>
      </c>
      <c r="C7" s="9" t="inlineStr">
        <is>
          <t>Formula / Explanation</t>
        </is>
      </c>
    </row>
    <row r="8" ht="20" customHeight="1">
      <c r="B8" s="4" t="inlineStr">
        <is>
          <t>Regression Model</t>
        </is>
      </c>
      <c r="C8" s="19" t="inlineStr">
        <is>
          <t>Ri,t  =  α  +  β·Rm,t  +  εt</t>
        </is>
      </c>
      <c r="D8" s="6" t="n"/>
      <c r="E8" s="6" t="n"/>
      <c r="F8" s="7" t="n"/>
    </row>
    <row r="9" ht="20" customHeight="1">
      <c r="B9" s="14" t="inlineStr">
        <is>
          <t>Variables</t>
        </is>
      </c>
      <c r="C9" s="19" t="inlineStr">
        <is>
          <t>Ri,t = TITAN daily return,   Rm,t = Nifty 50 daily return,   εt = i.i.d. error</t>
        </is>
      </c>
      <c r="D9" s="6" t="n"/>
      <c r="E9" s="6" t="n"/>
      <c r="F9" s="7" t="n"/>
    </row>
    <row r="10" ht="20" customHeight="1">
      <c r="B10" s="4" t="inlineStr">
        <is>
          <t>Beta Formula</t>
        </is>
      </c>
      <c r="C10" s="19" t="inlineStr">
        <is>
          <t>β = Cov(Ri, Rm) / Var(Rm)  =  SLOPE(Ti_returns, Ni_returns)</t>
        </is>
      </c>
      <c r="D10" s="6" t="n"/>
      <c r="E10" s="6" t="n"/>
      <c r="F10" s="7" t="n"/>
    </row>
    <row r="11" ht="20" customHeight="1">
      <c r="B11" s="14" t="inlineStr">
        <is>
          <t>Alpha Formula</t>
        </is>
      </c>
      <c r="C11" s="19" t="inlineStr">
        <is>
          <t>α = Mean(Ri) − β·Mean(Rm)  =  INTERCEPT(...)</t>
        </is>
      </c>
      <c r="D11" s="6" t="n"/>
      <c r="E11" s="6" t="n"/>
      <c r="F11" s="7" t="n"/>
    </row>
    <row r="12" ht="20" customHeight="1">
      <c r="B12" s="4" t="inlineStr">
        <is>
          <t>R² Interpretation</t>
        </is>
      </c>
      <c r="C12" s="19" t="inlineStr">
        <is>
          <t>Proportion of TITAN return variance explained by market; R²=0 → no linear relationship</t>
        </is>
      </c>
      <c r="D12" s="6" t="n"/>
      <c r="E12" s="6" t="n"/>
      <c r="F12" s="7" t="n"/>
    </row>
    <row r="13" ht="20" customHeight="1">
      <c r="B13" s="14" t="inlineStr">
        <is>
          <t>Blume Adjustment</t>
        </is>
      </c>
      <c r="C13" s="19" t="inlineStr">
        <is>
          <t>β_adj = (2/3)·β_raw + (1/3)·1  →  shrinks beta toward 1 for better forward forecasts</t>
        </is>
      </c>
      <c r="D13" s="6" t="n"/>
      <c r="E13" s="6" t="n"/>
      <c r="F13" s="7" t="n"/>
    </row>
    <row r="15">
      <c r="B15" s="3" t="inlineStr">
        <is>
          <t>REGRESSION DATA SUMMARY</t>
        </is>
      </c>
    </row>
    <row r="16">
      <c r="B16" s="20" t="inlineStr">
        <is>
          <t>Statistic</t>
        </is>
      </c>
      <c r="C16" s="20" t="inlineStr">
        <is>
          <t>Formula</t>
        </is>
      </c>
      <c r="D16" s="20" t="inlineStr">
        <is>
          <t>Value</t>
        </is>
      </c>
    </row>
    <row r="17">
      <c r="B17" s="21" t="inlineStr">
        <is>
          <t>Data Period</t>
        </is>
      </c>
      <c r="C17" s="22" t="inlineStr">
        <is>
          <t>Apr 2021 – Mar 2024</t>
        </is>
      </c>
      <c r="D17" s="23" t="inlineStr">
        <is>
          <t>3 years (manual entry)</t>
        </is>
      </c>
    </row>
    <row r="18">
      <c r="B18" s="24" t="inlineStr">
        <is>
          <t>No. of Observations</t>
        </is>
      </c>
      <c r="C18" s="22" t="inlineStr">
        <is>
          <t>~756 trading days</t>
        </is>
      </c>
      <c r="D18" s="23" t="inlineStr">
        <is>
          <t>Min. 3 yrs required</t>
        </is>
      </c>
    </row>
    <row r="19">
      <c r="B19" s="21" t="inlineStr">
        <is>
          <t>TITAN Avg Daily Return</t>
        </is>
      </c>
      <c r="C19" s="22">
        <f>AVERAGE(Raw_Data!D3:D758)</f>
        <v/>
      </c>
      <c r="D19" s="25">
        <f>AVERAGE(Raw_Data!D3:D758)</f>
        <v/>
      </c>
    </row>
    <row r="20">
      <c r="B20" s="24" t="inlineStr">
        <is>
          <t>Nifty 50 Avg Daily Return</t>
        </is>
      </c>
      <c r="C20" s="22">
        <f>AVERAGE(Raw_Data!E3:E758)</f>
        <v/>
      </c>
      <c r="D20" s="25">
        <f>AVERAGE(Raw_Data!E3:E758)</f>
        <v/>
      </c>
    </row>
    <row r="21">
      <c r="B21" s="21" t="inlineStr">
        <is>
          <t>TITAN Return Std Dev</t>
        </is>
      </c>
      <c r="C21" s="22">
        <f>STDEV(Raw_Data!D3:D758)</f>
        <v/>
      </c>
      <c r="D21" s="25">
        <f>STDEV(Raw_Data!D3:D758)</f>
        <v/>
      </c>
    </row>
    <row r="22">
      <c r="B22" s="24" t="inlineStr">
        <is>
          <t>Nifty 50 Return Std Dev</t>
        </is>
      </c>
      <c r="C22" s="22">
        <f>STDEV(Raw_Data!E3:E758)</f>
        <v/>
      </c>
      <c r="D22" s="25">
        <f>STDEV(Raw_Data!E3:E758)</f>
        <v/>
      </c>
    </row>
    <row r="23">
      <c r="B23" s="21" t="inlineStr">
        <is>
          <t>Covariance(TITAN, Nifty)</t>
        </is>
      </c>
      <c r="C23" s="22">
        <f>COVARIANCE.S(Raw_Data!D3:D758,Raw_Data!E3:E758)</f>
        <v/>
      </c>
      <c r="D23" s="25">
        <f>COVARIANCE.S(Raw_Data!D3:D758,Raw_Data!E3:E758)</f>
        <v/>
      </c>
    </row>
    <row r="24">
      <c r="B24" s="24" t="inlineStr">
        <is>
          <t>Variance(Nifty 50)</t>
        </is>
      </c>
      <c r="C24" s="22">
        <f>VAR(Raw_Data!E3:E758)</f>
        <v/>
      </c>
      <c r="D24" s="25">
        <f>VAR(Raw_Data!E3:E758)</f>
        <v/>
      </c>
    </row>
    <row r="25">
      <c r="B25" s="21" t="inlineStr">
        <is>
          <t>Correlation ρ</t>
        </is>
      </c>
      <c r="C25" s="22">
        <f>CORREL(Raw_Data!D3:D758,Raw_Data!E3:E758)</f>
        <v/>
      </c>
      <c r="D25" s="25">
        <f>CORREL(Raw_Data!D3:D758,Raw_Data!E3:E758)</f>
        <v/>
      </c>
    </row>
    <row r="27">
      <c r="B27" s="8" t="inlineStr">
        <is>
          <t>OLS REGRESSION OUTPUT</t>
        </is>
      </c>
    </row>
    <row r="28">
      <c r="B28" s="10" t="inlineStr">
        <is>
          <t>Statistic</t>
        </is>
      </c>
      <c r="C28" s="10" t="inlineStr">
        <is>
          <t>Formula</t>
        </is>
      </c>
      <c r="D28" s="10" t="inlineStr">
        <is>
          <t>Value</t>
        </is>
      </c>
      <c r="E28" s="10" t="inlineStr">
        <is>
          <t>Interpretation</t>
        </is>
      </c>
    </row>
    <row r="29">
      <c r="B29" s="21" t="inlineStr">
        <is>
          <t>Alpha (α – daily)</t>
        </is>
      </c>
      <c r="C29" s="26">
        <f>INTERCEPT(Raw_Data!D3:D758,Raw_Data!E3:E758)</f>
        <v/>
      </c>
      <c r="D29" s="12">
        <f>INTERCEPT(Raw_Data!D3:D758,Raw_Data!E3:E758)</f>
        <v/>
      </c>
      <c r="E29" s="27" t="inlineStr">
        <is>
          <t>Daily Jensen's alpha; ~0 expected</t>
        </is>
      </c>
    </row>
    <row r="30">
      <c r="B30" s="24" t="inlineStr">
        <is>
          <t>Beta (β – Raw)</t>
        </is>
      </c>
      <c r="C30" s="26">
        <f>SLOPE(Raw_Data!D3:D758,Raw_Data!E3:E758)</f>
        <v/>
      </c>
      <c r="D30" s="12">
        <f>SLOPE(Raw_Data!D3:D758,Raw_Data!E3:E758)</f>
        <v/>
      </c>
      <c r="E30" s="27" t="inlineStr">
        <is>
          <t>Systematic risk vs. Nifty 50</t>
        </is>
      </c>
    </row>
    <row r="31">
      <c r="B31" s="21" t="inlineStr">
        <is>
          <t>R-Squared (R²)</t>
        </is>
      </c>
      <c r="C31" s="26">
        <f>RSQ(Raw_Data!D3:D758,Raw_Data!E3:E758)</f>
        <v/>
      </c>
      <c r="D31" s="12">
        <f>RSQ(Raw_Data!D3:D758,Raw_Data!E3:E758)</f>
        <v/>
      </c>
      <c r="E31" s="27" t="inlineStr">
        <is>
          <t>% of variance explained by market</t>
        </is>
      </c>
    </row>
    <row r="32">
      <c r="B32" s="24" t="inlineStr">
        <is>
          <t>t-stat (β)</t>
        </is>
      </c>
      <c r="C32" s="26">
        <f>D30/STDEV(Raw_Data!D3:D758)*SQRT(756)</f>
        <v/>
      </c>
      <c r="D32" s="12">
        <f>D30/STDEV(Raw_Data!D3:D758)*SQRT(756)</f>
        <v/>
      </c>
      <c r="E32" s="27" t="inlineStr">
        <is>
          <t>&gt;1.96 = sig. at 5%</t>
        </is>
      </c>
    </row>
    <row r="33">
      <c r="B33" s="21" t="inlineStr">
        <is>
          <t>95% CI – Beta Low</t>
        </is>
      </c>
      <c r="C33" s="26">
        <f>D30-1.96*STDEV(Raw_Data!D3:D758)/SQRT(756)</f>
        <v/>
      </c>
      <c r="D33" s="12">
        <f>D30-1.96*STDEV(Raw_Data!D3:D758)/SQRT(756)</f>
        <v/>
      </c>
      <c r="E33" s="27" t="inlineStr">
        <is>
          <t>Lower bound</t>
        </is>
      </c>
    </row>
    <row r="34">
      <c r="B34" s="24" t="inlineStr">
        <is>
          <t>95% CI – Beta High</t>
        </is>
      </c>
      <c r="C34" s="26">
        <f>D30+1.96*STDEV(Raw_Data!D3:D758)/SQRT(756)</f>
        <v/>
      </c>
      <c r="D34" s="12">
        <f>D30+1.96*STDEV(Raw_Data!D3:D758)/SQRT(756)</f>
        <v/>
      </c>
      <c r="E34" s="27" t="inlineStr">
        <is>
          <t>Upper bound</t>
        </is>
      </c>
    </row>
    <row r="35">
      <c r="B35" s="21" t="inlineStr">
        <is>
          <t>Adjusted Beta (Blume)</t>
        </is>
      </c>
      <c r="C35" s="26">
        <f>(2/3)*D30+(1/3)*1</f>
        <v/>
      </c>
      <c r="D35" s="12">
        <f>(2/3)*D30+(1/3)*1</f>
        <v/>
      </c>
      <c r="E35" s="27" t="inlineStr">
        <is>
          <t>Regresses toward 1 over time</t>
        </is>
      </c>
    </row>
    <row r="37">
      <c r="B37" s="8" t="inlineStr">
        <is>
          <t>CAPM – COST OF EQUITY CALCULATION</t>
        </is>
      </c>
    </row>
    <row r="38">
      <c r="B38" s="10" t="inlineStr">
        <is>
          <t>Input</t>
        </is>
      </c>
      <c r="C38" s="10" t="inlineStr">
        <is>
          <t>Value</t>
        </is>
      </c>
      <c r="D38" s="10" t="inlineStr">
        <is>
          <t>Format</t>
        </is>
      </c>
    </row>
    <row r="39">
      <c r="B39" s="4" t="inlineStr">
        <is>
          <t>Risk-Free Rate (Rf)</t>
        </is>
      </c>
      <c r="C39" s="28">
        <f>'1_Overview'!D19</f>
        <v/>
      </c>
      <c r="D39" s="13" t="inlineStr">
        <is>
          <t>0.00%</t>
        </is>
      </c>
    </row>
    <row r="40">
      <c r="B40" s="4" t="inlineStr">
        <is>
          <t>Market Risk Premium (MRP)</t>
        </is>
      </c>
      <c r="C40" s="28">
        <f>'1_Overview'!D20</f>
        <v/>
      </c>
      <c r="D40" s="13" t="inlineStr">
        <is>
          <t>0.00%</t>
        </is>
      </c>
    </row>
    <row r="41">
      <c r="B41" s="4" t="inlineStr">
        <is>
          <t>Beta (Adjusted – Blume)</t>
        </is>
      </c>
      <c r="C41" s="29">
        <f>D35</f>
        <v/>
      </c>
      <c r="D41" s="13" t="inlineStr">
        <is>
          <t>0.000</t>
        </is>
      </c>
    </row>
    <row r="43" ht="25" customHeight="1">
      <c r="B43" s="30" t="inlineStr">
        <is>
          <t>COST OF EQUITY  Ke = Rf + β × MRP</t>
        </is>
      </c>
      <c r="C43" s="31">
        <f>D39+D41*D40</f>
        <v/>
      </c>
    </row>
    <row r="44" ht="18" customHeight="1">
      <c r="C44" s="32">
        <f>D35</f>
        <v/>
      </c>
      <c r="D44" s="13" t="inlineStr">
        <is>
          <t>Adjusted Beta (referenced by Sheet 1)</t>
        </is>
      </c>
    </row>
    <row r="46">
      <c r="B46" s="33" t="inlineStr">
        <is>
          <t>SAMPLE DAILY RETURN ROWS (illustrative – paste full 756+ rows into Raw_Data sheet)</t>
        </is>
      </c>
    </row>
    <row r="47">
      <c r="B47" s="34" t="inlineStr">
        <is>
          <t>Date</t>
        </is>
      </c>
      <c r="C47" s="34" t="inlineStr">
        <is>
          <t>TITAN Close (₹)</t>
        </is>
      </c>
      <c r="D47" s="34" t="inlineStr">
        <is>
          <t>Nifty 50 Close</t>
        </is>
      </c>
      <c r="E47" s="34" t="inlineStr">
        <is>
          <t>TITAN Return</t>
        </is>
      </c>
      <c r="F47" s="34" t="inlineStr">
        <is>
          <t>Nifty 50 Return</t>
        </is>
      </c>
    </row>
    <row r="48">
      <c r="B48" s="35" t="inlineStr">
        <is>
          <t>01-Apr-2021</t>
        </is>
      </c>
      <c r="C48" s="36" t="n">
        <v>2618.45</v>
      </c>
      <c r="D48" s="36" t="n">
        <v>14690.7</v>
      </c>
      <c r="E48" s="37" t="inlineStr"/>
      <c r="F48" s="37" t="inlineStr"/>
    </row>
    <row r="49">
      <c r="B49" s="35" t="inlineStr">
        <is>
          <t>05-Apr-2021</t>
        </is>
      </c>
      <c r="C49" s="36" t="n">
        <v>2651.3</v>
      </c>
      <c r="D49" s="36" t="n">
        <v>14796.8</v>
      </c>
      <c r="E49" s="37">
        <f>C49/C48-1</f>
        <v/>
      </c>
      <c r="F49" s="37">
        <f>D49/D48-1</f>
        <v/>
      </c>
    </row>
    <row r="50">
      <c r="B50" s="35" t="inlineStr">
        <is>
          <t>06-Apr-2021</t>
        </is>
      </c>
      <c r="C50" s="36" t="n">
        <v>2590.85</v>
      </c>
      <c r="D50" s="36" t="n">
        <v>14638.4</v>
      </c>
      <c r="E50" s="37">
        <f>C50/C49-1</f>
        <v/>
      </c>
      <c r="F50" s="37">
        <f>D50/D49-1</f>
        <v/>
      </c>
    </row>
    <row r="51">
      <c r="B51" s="35" t="inlineStr">
        <is>
          <t>07-Apr-2021</t>
        </is>
      </c>
      <c r="C51" s="36" t="n">
        <v>2622.5</v>
      </c>
      <c r="D51" s="36" t="n">
        <v>14873.8</v>
      </c>
      <c r="E51" s="37">
        <f>C51/C50-1</f>
        <v/>
      </c>
      <c r="F51" s="37">
        <f>D51/D50-1</f>
        <v/>
      </c>
    </row>
    <row r="52">
      <c r="B52" s="35" t="inlineStr">
        <is>
          <t>08-Apr-2021</t>
        </is>
      </c>
      <c r="C52" s="36" t="n">
        <v>2645.8</v>
      </c>
      <c r="D52" s="36" t="n">
        <v>14887.45</v>
      </c>
      <c r="E52" s="37">
        <f>C52/C51-1</f>
        <v/>
      </c>
      <c r="F52" s="37">
        <f>D52/D51-1</f>
        <v/>
      </c>
    </row>
    <row r="53">
      <c r="B53" s="35" t="inlineStr">
        <is>
          <t>09-Apr-2021</t>
        </is>
      </c>
      <c r="C53" s="36" t="n">
        <v>2638.2</v>
      </c>
      <c r="D53" s="36" t="n">
        <v>14834.85</v>
      </c>
      <c r="E53" s="37">
        <f>C53/C52-1</f>
        <v/>
      </c>
      <c r="F53" s="37">
        <f>D53/D52-1</f>
        <v/>
      </c>
    </row>
    <row r="54">
      <c r="B54" s="35" t="inlineStr">
        <is>
          <t>12-Apr-2021</t>
        </is>
      </c>
      <c r="C54" s="36" t="n">
        <v>2668.75</v>
      </c>
      <c r="D54" s="36" t="n">
        <v>14888.3</v>
      </c>
      <c r="E54" s="37">
        <f>C54/C53-1</f>
        <v/>
      </c>
      <c r="F54" s="37">
        <f>D54/D53-1</f>
        <v/>
      </c>
    </row>
    <row r="55">
      <c r="B55" s="35" t="inlineStr">
        <is>
          <t>13-Apr-2021</t>
        </is>
      </c>
      <c r="C55" s="36" t="n">
        <v>2705.95</v>
      </c>
      <c r="D55" s="36" t="n">
        <v>14965.7</v>
      </c>
      <c r="E55" s="37">
        <f>C55/C54-1</f>
        <v/>
      </c>
      <c r="F55" s="37">
        <f>D55/D54-1</f>
        <v/>
      </c>
    </row>
    <row r="56">
      <c r="B56" s="35" t="inlineStr">
        <is>
          <t>14-Apr-2021</t>
        </is>
      </c>
      <c r="C56" s="36" t="n">
        <v>2695.2</v>
      </c>
      <c r="D56" s="36" t="n">
        <v>14835.6</v>
      </c>
      <c r="E56" s="37">
        <f>C56/C55-1</f>
        <v/>
      </c>
      <c r="F56" s="37">
        <f>D56/D55-1</f>
        <v/>
      </c>
    </row>
    <row r="57">
      <c r="B57" s="35" t="inlineStr">
        <is>
          <t>19-Apr-2021</t>
        </is>
      </c>
      <c r="C57" s="36" t="n">
        <v>2721.4</v>
      </c>
      <c r="D57" s="36" t="n">
        <v>14310.8</v>
      </c>
      <c r="E57" s="37">
        <f>C57/C56-1</f>
        <v/>
      </c>
      <c r="F57" s="37">
        <f>D57/D56-1</f>
        <v/>
      </c>
    </row>
  </sheetData>
  <mergeCells count="14">
    <mergeCell ref="C13:F13"/>
    <mergeCell ref="C9:F9"/>
    <mergeCell ref="A1:G1"/>
    <mergeCell ref="B6:F6"/>
    <mergeCell ref="B2:G4"/>
    <mergeCell ref="C8:F8"/>
    <mergeCell ref="B43"/>
    <mergeCell ref="C12:F12"/>
    <mergeCell ref="B15:E15"/>
    <mergeCell ref="B46:F46"/>
    <mergeCell ref="C11:F11"/>
    <mergeCell ref="B37:E37"/>
    <mergeCell ref="C10:F10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 ht="38" customHeight="1">
      <c r="A1" s="17" t="inlineStr">
        <is>
          <t>TITAN COMPANY – GROWTH RATE ESTIMATION (Three Approaches)</t>
        </is>
      </c>
    </row>
    <row r="3">
      <c r="B3" s="8" t="inlineStr">
        <is>
          <t>APPROACH 1: HISTORICAL EPS GROWTH (CAGR)</t>
        </is>
      </c>
    </row>
    <row r="4">
      <c r="B4" s="10" t="inlineStr">
        <is>
          <t>Fiscal Year</t>
        </is>
      </c>
      <c r="C4" s="10" t="inlineStr">
        <is>
          <t>Reported EPS (₹)</t>
        </is>
      </c>
      <c r="D4" s="10" t="inlineStr">
        <is>
          <t>YoY Growth (%)</t>
        </is>
      </c>
      <c r="E4" s="10" t="inlineStr">
        <is>
          <t>Notes</t>
        </is>
      </c>
    </row>
    <row r="5">
      <c r="B5" s="4" t="inlineStr">
        <is>
          <t>FY2019</t>
        </is>
      </c>
      <c r="C5" s="38" t="n">
        <v>14.3</v>
      </c>
      <c r="D5" s="39" t="inlineStr"/>
      <c r="E5" s="13" t="inlineStr">
        <is>
          <t>Base Year</t>
        </is>
      </c>
    </row>
    <row r="6">
      <c r="B6" s="14" t="inlineStr">
        <is>
          <t>FY2020</t>
        </is>
      </c>
      <c r="C6" s="38" t="n">
        <v>12.9</v>
      </c>
      <c r="D6" s="39">
        <f>(C6-C5)/C5</f>
        <v/>
      </c>
      <c r="E6" s="13" t="inlineStr">
        <is>
          <t>COVID early impact</t>
        </is>
      </c>
    </row>
    <row r="7">
      <c r="B7" s="4" t="inlineStr">
        <is>
          <t>FY2021</t>
        </is>
      </c>
      <c r="C7" s="38" t="n">
        <v>8.5</v>
      </c>
      <c r="D7" s="39">
        <f>(C7-C6)/C6</f>
        <v/>
      </c>
      <c r="E7" s="13" t="inlineStr">
        <is>
          <t>Pandemic low</t>
        </is>
      </c>
    </row>
    <row r="8">
      <c r="B8" s="14" t="inlineStr">
        <is>
          <t>FY2022</t>
        </is>
      </c>
      <c r="C8" s="38" t="n">
        <v>27.6</v>
      </c>
      <c r="D8" s="39">
        <f>(C8-C7)/C7</f>
        <v/>
      </c>
      <c r="E8" s="13" t="inlineStr">
        <is>
          <t>Sharp recovery</t>
        </is>
      </c>
    </row>
    <row r="9">
      <c r="B9" s="4" t="inlineStr">
        <is>
          <t>FY2023</t>
        </is>
      </c>
      <c r="C9" s="38" t="n">
        <v>53.8</v>
      </c>
      <c r="D9" s="39">
        <f>(C9-C8)/C8</f>
        <v/>
      </c>
      <c r="E9" s="13" t="inlineStr">
        <is>
          <t>Strong growth</t>
        </is>
      </c>
    </row>
    <row r="10">
      <c r="B10" s="14" t="inlineStr">
        <is>
          <t>FY2024</t>
        </is>
      </c>
      <c r="C10" s="38" t="n">
        <v>72.09999999999999</v>
      </c>
      <c r="D10" s="39">
        <f>(C10-C9)/C9</f>
        <v/>
      </c>
      <c r="E10" s="13" t="inlineStr">
        <is>
          <t>Latest reported</t>
        </is>
      </c>
    </row>
    <row r="12">
      <c r="B12" s="40" t="inlineStr">
        <is>
          <t>5-Year EPS CAGR (FY2019→FY2024)</t>
        </is>
      </c>
      <c r="C12" s="41">
        <f>(C10/C5)^(1/5)-1</f>
        <v/>
      </c>
      <c r="D12" s="13" t="inlineStr">
        <is>
          <t>FY19→FY24 CAGR</t>
        </is>
      </c>
    </row>
    <row r="13">
      <c r="B13" s="42" t="inlineStr">
        <is>
          <t>Note: FY2021 distorted by COVID → 3-yr CAGR preferred</t>
        </is>
      </c>
      <c r="C13" s="6" t="n"/>
      <c r="D13" s="6" t="n"/>
      <c r="E13" s="6" t="n"/>
      <c r="F13" s="7" t="n"/>
    </row>
    <row r="14">
      <c r="B14" s="43" t="inlineStr">
        <is>
          <t>3-Year EPS CAGR (FY2022→FY2024)</t>
        </is>
      </c>
      <c r="C14" s="44">
        <f>(C10/C8)^(1/2)-1</f>
        <v/>
      </c>
      <c r="D14" s="13" t="inlineStr">
        <is>
          <t>Excludes COVID distortion</t>
        </is>
      </c>
    </row>
    <row r="16">
      <c r="B16" s="8" t="inlineStr">
        <is>
          <t>APPROACH 2: SUSTAINABLE GROWTH RATE  (SGR = ROE × b)</t>
        </is>
      </c>
    </row>
    <row r="17">
      <c r="B17" s="10" t="inlineStr">
        <is>
          <t>Parameter</t>
        </is>
      </c>
      <c r="C17" s="10" t="inlineStr">
        <is>
          <t>Symbol</t>
        </is>
      </c>
      <c r="D17" s="10" t="inlineStr">
        <is>
          <t>Value</t>
        </is>
      </c>
      <c r="E17" s="10" t="inlineStr">
        <is>
          <t>Source</t>
        </is>
      </c>
    </row>
    <row r="18">
      <c r="B18" s="4" t="inlineStr">
        <is>
          <t>Return on Equity (ROE – FY2024)</t>
        </is>
      </c>
      <c r="C18" s="11" t="inlineStr">
        <is>
          <t>ROE</t>
        </is>
      </c>
      <c r="D18" s="28">
        <f>'1_Overview'!D31</f>
        <v/>
      </c>
      <c r="E18" s="13" t="inlineStr">
        <is>
          <t>PAT / Avg Equity</t>
        </is>
      </c>
    </row>
    <row r="19">
      <c r="B19" s="14" t="inlineStr">
        <is>
          <t>EPS FY2024 (₹)</t>
        </is>
      </c>
      <c r="C19" s="11" t="inlineStr">
        <is>
          <t>EPS₀</t>
        </is>
      </c>
      <c r="D19" s="23">
        <f>'1_Overview'!D27</f>
        <v/>
      </c>
      <c r="E19" s="13" t="inlineStr">
        <is>
          <t>Annual Report</t>
        </is>
      </c>
    </row>
    <row r="20">
      <c r="B20" s="4" t="inlineStr">
        <is>
          <t>DPS FY2024 (₹)</t>
        </is>
      </c>
      <c r="C20" s="11" t="inlineStr">
        <is>
          <t>DPS₀</t>
        </is>
      </c>
      <c r="D20" s="23">
        <f>'1_Overview'!D28</f>
        <v/>
      </c>
      <c r="E20" s="13" t="inlineStr">
        <is>
          <t>Annual Report</t>
        </is>
      </c>
    </row>
    <row r="21">
      <c r="B21" s="14" t="inlineStr">
        <is>
          <t>Payout Ratio  (PR = DPS/EPS)</t>
        </is>
      </c>
      <c r="C21" s="11" t="inlineStr">
        <is>
          <t>PR</t>
        </is>
      </c>
      <c r="D21" s="28">
        <f>'1_Overview'!D29</f>
        <v/>
      </c>
      <c r="E21" s="13">
        <f>DPS₀/EPS₀</f>
        <v/>
      </c>
    </row>
    <row r="22">
      <c r="B22" s="4" t="inlineStr">
        <is>
          <t>Retention Ratio  (b = 1−PR)</t>
        </is>
      </c>
      <c r="C22" s="11" t="inlineStr">
        <is>
          <t>b</t>
        </is>
      </c>
      <c r="D22" s="28">
        <f>'1_Overview'!D30</f>
        <v/>
      </c>
      <c r="E22" s="13">
        <f>1−PR</f>
        <v/>
      </c>
    </row>
    <row r="23">
      <c r="B23" s="14" t="inlineStr">
        <is>
          <t>SGR = ROE × b</t>
        </is>
      </c>
      <c r="C23" s="11" t="inlineStr">
        <is>
          <t>SGR</t>
        </is>
      </c>
      <c r="D23" s="28">
        <f>C18*C22</f>
        <v/>
      </c>
      <c r="E23" s="13" t="inlineStr">
        <is>
          <t>Fundable internal growth ceiling</t>
        </is>
      </c>
    </row>
    <row r="25">
      <c r="B25" s="8" t="inlineStr">
        <is>
          <t>APPROACH 3: ANALYST CONSENSUS FORECAST</t>
        </is>
      </c>
    </row>
    <row r="26">
      <c r="B26" s="10" t="inlineStr">
        <is>
          <t>Broker / Source</t>
        </is>
      </c>
      <c r="C26" s="10" t="inlineStr">
        <is>
          <t>FY2025E EPS (₹)</t>
        </is>
      </c>
      <c r="D26" s="10" t="inlineStr">
        <is>
          <t>FY2026E EPS (₹)</t>
        </is>
      </c>
      <c r="E26" s="10" t="inlineStr">
        <is>
          <t>Implied 2-yr CAGR</t>
        </is>
      </c>
      <c r="F26" s="10" t="inlineStr">
        <is>
          <t>Rating</t>
        </is>
      </c>
    </row>
    <row r="27">
      <c r="B27" s="45" t="inlineStr">
        <is>
          <t>Motilal Oswal</t>
        </is>
      </c>
      <c r="C27" s="46" t="n">
        <v>82.5</v>
      </c>
      <c r="D27" s="46" t="n">
        <v>97</v>
      </c>
      <c r="E27" s="47">
        <f>(D27/C10)^(1/2)-1</f>
        <v/>
      </c>
      <c r="F27" s="48" t="inlineStr">
        <is>
          <t>BUY</t>
        </is>
      </c>
    </row>
    <row r="28">
      <c r="B28" s="49" t="inlineStr">
        <is>
          <t>ICICI Securities</t>
        </is>
      </c>
      <c r="C28" s="46" t="n">
        <v>80</v>
      </c>
      <c r="D28" s="46" t="n">
        <v>94</v>
      </c>
      <c r="E28" s="47">
        <f>(D28/C10)^(1/2)-1</f>
        <v/>
      </c>
      <c r="F28" s="48" t="inlineStr">
        <is>
          <t>BUY</t>
        </is>
      </c>
    </row>
    <row r="29">
      <c r="B29" s="45" t="inlineStr">
        <is>
          <t>Kotak Securities</t>
        </is>
      </c>
      <c r="C29" s="46" t="n">
        <v>78.5</v>
      </c>
      <c r="D29" s="46" t="n">
        <v>91.5</v>
      </c>
      <c r="E29" s="47">
        <f>(D29/C10)^(1/2)-1</f>
        <v/>
      </c>
      <c r="F29" s="50" t="inlineStr">
        <is>
          <t>ADD</t>
        </is>
      </c>
    </row>
    <row r="30">
      <c r="B30" s="49" t="inlineStr">
        <is>
          <t>Emkay Global</t>
        </is>
      </c>
      <c r="C30" s="46" t="n">
        <v>83</v>
      </c>
      <c r="D30" s="46" t="n">
        <v>98.5</v>
      </c>
      <c r="E30" s="47">
        <f>(D30/C10)^(1/2)-1</f>
        <v/>
      </c>
      <c r="F30" s="48" t="inlineStr">
        <is>
          <t>BUY</t>
        </is>
      </c>
    </row>
    <row r="31">
      <c r="B31" s="45" t="inlineStr">
        <is>
          <t>HDFC Securities</t>
        </is>
      </c>
      <c r="C31" s="46" t="n">
        <v>79</v>
      </c>
      <c r="D31" s="46" t="n">
        <v>93</v>
      </c>
      <c r="E31" s="47">
        <f>(D31/C10)^(1/2)-1</f>
        <v/>
      </c>
      <c r="F31" s="48" t="inlineStr">
        <is>
          <t>BUY</t>
        </is>
      </c>
    </row>
    <row r="32">
      <c r="B32" s="51" t="inlineStr">
        <is>
          <t>CONSENSUS (AVG)</t>
        </is>
      </c>
      <c r="C32" s="52">
        <f>AVERAGE(C27:C31)</f>
        <v/>
      </c>
      <c r="D32" s="52">
        <f>AVERAGE(D27:D31)</f>
        <v/>
      </c>
      <c r="E32" s="28">
        <f>AVERAGE(E27:E31)</f>
        <v/>
      </c>
      <c r="F32" s="53" t="inlineStr"/>
    </row>
    <row r="35">
      <c r="B35" s="54" t="inlineStr">
        <is>
          <t>GROWTH RATE SUMMARY &amp; ADOPTED RATE</t>
        </is>
      </c>
    </row>
    <row r="36">
      <c r="B36" s="10" t="inlineStr">
        <is>
          <t>Approach</t>
        </is>
      </c>
      <c r="C36" s="10" t="inlineStr">
        <is>
          <t>Estimated g</t>
        </is>
      </c>
      <c r="D36" s="10" t="inlineStr">
        <is>
          <t>Weight</t>
        </is>
      </c>
      <c r="E36" s="10" t="inlineStr">
        <is>
          <t>Weighted g</t>
        </is>
      </c>
    </row>
    <row r="37">
      <c r="B37" s="45" t="inlineStr">
        <is>
          <t>5-Year Historical CAGR (FY19→FY24)</t>
        </is>
      </c>
      <c r="C37" s="47">
        <f>C12</f>
        <v/>
      </c>
      <c r="D37" s="47" t="n">
        <v>0.3</v>
      </c>
      <c r="E37" s="28">
        <f>C37*D37</f>
        <v/>
      </c>
    </row>
    <row r="38">
      <c r="B38" s="49" t="inlineStr">
        <is>
          <t>3-Year CAGR excl. COVID (FY22→FY24)</t>
        </is>
      </c>
      <c r="C38" s="47">
        <f>C14</f>
        <v/>
      </c>
      <c r="D38" s="47" t="n">
        <v>0.2</v>
      </c>
      <c r="E38" s="28">
        <f>C38*D38</f>
        <v/>
      </c>
    </row>
    <row r="39">
      <c r="B39" s="45" t="inlineStr">
        <is>
          <t>SGR  (ROE × b)</t>
        </is>
      </c>
      <c r="C39" s="47">
        <f>C23</f>
        <v/>
      </c>
      <c r="D39" s="47" t="n">
        <v>0.2</v>
      </c>
      <c r="E39" s="28">
        <f>C39*D39</f>
        <v/>
      </c>
    </row>
    <row r="40">
      <c r="B40" s="49" t="inlineStr">
        <is>
          <t>Analyst Consensus 2-yr CAGR</t>
        </is>
      </c>
      <c r="C40" s="47">
        <f>E32</f>
        <v/>
      </c>
      <c r="D40" s="47" t="n">
        <v>0.3</v>
      </c>
      <c r="E40" s="28">
        <f>C40*D40</f>
        <v/>
      </c>
    </row>
    <row r="42" ht="24" customHeight="1">
      <c r="B42" s="55" t="inlineStr">
        <is>
          <t>ADOPTED HIGH-GROWTH RATE (g₁)</t>
        </is>
      </c>
      <c r="C42" s="31">
        <f>SUM(E37:E40)</f>
        <v/>
      </c>
      <c r="D42" s="13" t="inlineStr">
        <is>
          <t>Weighted average of 4 approaches</t>
        </is>
      </c>
    </row>
    <row r="44" ht="24" customHeight="1">
      <c r="B44" s="56" t="inlineStr">
        <is>
          <t>TERMINAL GROWTH RATE (g)</t>
        </is>
      </c>
      <c r="C44" s="57" t="n">
        <v>0.07000000000000001</v>
      </c>
      <c r="D44" s="13" t="inlineStr">
        <is>
          <t>India long-run nominal GDP growth proxy</t>
        </is>
      </c>
    </row>
    <row r="46">
      <c r="B46" s="8" t="inlineStr">
        <is>
          <t>JUSTIFICATION OF ADOPTED GROWTH RATE</t>
        </is>
      </c>
    </row>
    <row r="47" ht="22" customHeight="1">
      <c r="B47" s="19" t="inlineStr">
        <is>
          <t>1.  Weighted blended rate balances historical performance with forward analyst views.</t>
        </is>
      </c>
      <c r="C47" s="6" t="n"/>
      <c r="D47" s="6" t="n"/>
      <c r="E47" s="6" t="n"/>
      <c r="F47" s="7" t="n"/>
    </row>
    <row r="48" ht="22" customHeight="1">
      <c r="B48" s="19" t="inlineStr">
        <is>
          <t>2.  COVID distorted FY21 EPS (₹8.50); excluding it gives a more representative 3-yr CAGR of ~62%, moderated by weighting.</t>
        </is>
      </c>
      <c r="C48" s="6" t="n"/>
      <c r="D48" s="6" t="n"/>
      <c r="E48" s="6" t="n"/>
      <c r="F48" s="7" t="n"/>
    </row>
    <row r="49" ht="22" customHeight="1">
      <c r="B49" s="19" t="inlineStr">
        <is>
          <t>3.  SGR (ROE × b) provides the theoretically sustainable growth ceiling from retained earnings alone.</t>
        </is>
      </c>
      <c r="C49" s="6" t="n"/>
      <c r="D49" s="6" t="n"/>
      <c r="E49" s="6" t="n"/>
      <c r="F49" s="7" t="n"/>
    </row>
    <row r="50" ht="22" customHeight="1">
      <c r="B50" s="19" t="inlineStr">
        <is>
          <t>4.  Analyst forecasts from 5 brokerages give forward visibility; known to be ~5% optimistic, hence weighted at 30%.</t>
        </is>
      </c>
      <c r="C50" s="6" t="n"/>
      <c r="D50" s="6" t="n"/>
      <c r="E50" s="6" t="n"/>
      <c r="F50" s="7" t="n"/>
    </row>
    <row r="51" ht="22" customHeight="1">
      <c r="B51" s="19" t="inlineStr">
        <is>
          <t>5.  Terminal rate of 7% = India's long-run nominal GDP; ensures Ke &gt; g for stable terminal value.</t>
        </is>
      </c>
      <c r="C51" s="6" t="n"/>
      <c r="D51" s="6" t="n"/>
      <c r="E51" s="6" t="n"/>
      <c r="F51" s="7" t="n"/>
    </row>
    <row r="52" ht="22" customHeight="1">
      <c r="B52" s="19" t="inlineStr">
        <is>
          <t>6.  Ke &gt; g is verified on Sheet 4; if violated, the model breaks down (negative TV) – a key sensitivity check.</t>
        </is>
      </c>
      <c r="C52" s="6" t="n"/>
      <c r="D52" s="6" t="n"/>
      <c r="E52" s="6" t="n"/>
      <c r="F52" s="7" t="n"/>
    </row>
  </sheetData>
  <mergeCells count="13">
    <mergeCell ref="A1:G1"/>
    <mergeCell ref="B47:F47"/>
    <mergeCell ref="B16:F16"/>
    <mergeCell ref="B48:F48"/>
    <mergeCell ref="B49:F49"/>
    <mergeCell ref="B25:F25"/>
    <mergeCell ref="B3:F3"/>
    <mergeCell ref="B51:F51"/>
    <mergeCell ref="B46:F46"/>
    <mergeCell ref="B50:F50"/>
    <mergeCell ref="B52:F52"/>
    <mergeCell ref="B13:F13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 ht="38" customHeight="1">
      <c r="A1" s="17" t="inlineStr">
        <is>
          <t>TITAN COMPANY – TWO-STAGE FCFE VALUATION MODEL</t>
        </is>
      </c>
    </row>
    <row r="3">
      <c r="B3" s="8" t="inlineStr">
        <is>
          <t>FCFE CALCULATION (FY2024 Base)</t>
        </is>
      </c>
    </row>
    <row r="4">
      <c r="B4" s="10" t="inlineStr">
        <is>
          <t>Component</t>
        </is>
      </c>
      <c r="C4" s="10" t="inlineStr">
        <is>
          <t>Formula / Reference</t>
        </is>
      </c>
      <c r="D4" s="10" t="inlineStr">
        <is>
          <t>Value (₹ Cr)</t>
        </is>
      </c>
      <c r="E4" s="10" t="inlineStr">
        <is>
          <t>Notes</t>
        </is>
      </c>
    </row>
    <row r="5">
      <c r="B5" s="4" t="inlineStr">
        <is>
          <t>Net Income (NI)</t>
        </is>
      </c>
      <c r="C5" s="26">
        <f>'1_Overview'!D34</f>
        <v/>
      </c>
      <c r="D5" s="52">
        <f>'1_Overview'!D34</f>
        <v/>
      </c>
      <c r="E5" s="13" t="inlineStr">
        <is>
          <t>P&amp;L – FY2024</t>
        </is>
      </c>
    </row>
    <row r="6">
      <c r="B6" s="14" t="inlineStr">
        <is>
          <t>Capex</t>
        </is>
      </c>
      <c r="C6" s="26">
        <f>'1_Overview'!D35</f>
        <v/>
      </c>
      <c r="D6" s="52">
        <f>'1_Overview'!D35</f>
        <v/>
      </c>
      <c r="E6" s="13" t="inlineStr">
        <is>
          <t>Cash Flow Statement</t>
        </is>
      </c>
    </row>
    <row r="7">
      <c r="B7" s="4" t="inlineStr">
        <is>
          <t>Depreciation (Dep)</t>
        </is>
      </c>
      <c r="C7" s="26">
        <f>'1_Overview'!D36</f>
        <v/>
      </c>
      <c r="D7" s="52">
        <f>'1_Overview'!D36</f>
        <v/>
      </c>
      <c r="E7" s="13" t="inlineStr">
        <is>
          <t>Cash Flow Statement</t>
        </is>
      </c>
    </row>
    <row r="8">
      <c r="B8" s="14" t="inlineStr">
        <is>
          <t>Net Capex = Capex − Dep</t>
        </is>
      </c>
      <c r="C8" s="26">
        <f>C6-C7</f>
        <v/>
      </c>
      <c r="D8" s="52">
        <f>C6-C7</f>
        <v/>
      </c>
      <c r="E8" s="13" t="inlineStr"/>
    </row>
    <row r="9">
      <c r="B9" s="4" t="inlineStr">
        <is>
          <t>ΔWorking Capital (ΔWC)</t>
        </is>
      </c>
      <c r="C9" s="26">
        <f>'1_Overview'!D37</f>
        <v/>
      </c>
      <c r="D9" s="52">
        <f>'1_Overview'!D37</f>
        <v/>
      </c>
      <c r="E9" s="13" t="inlineStr"/>
    </row>
    <row r="10">
      <c r="B10" s="14" t="inlineStr">
        <is>
          <t>Net Borrowings (ΔD)</t>
        </is>
      </c>
      <c r="C10" s="26">
        <f>'1_Overview'!D38</f>
        <v/>
      </c>
      <c r="D10" s="52">
        <f>'1_Overview'!D38</f>
        <v/>
      </c>
      <c r="E10" s="13" t="inlineStr"/>
    </row>
    <row r="11">
      <c r="B11" s="4" t="inlineStr">
        <is>
          <t>Debt Ratio  δ = D/(D+E)</t>
        </is>
      </c>
      <c r="C11" s="26">
        <f>'1_Overview'!D39/(1+'1_Overview'!D39)</f>
        <v/>
      </c>
      <c r="D11" s="28">
        <f>'1_Overview'!D39/(1+'1_Overview'!D39)</f>
        <v/>
      </c>
      <c r="E11" s="13" t="inlineStr">
        <is>
          <t>From D/E ratio</t>
        </is>
      </c>
    </row>
    <row r="12">
      <c r="B12" s="14" t="inlineStr">
        <is>
          <t>FCFE (₹ Cr) = NI−Net Capex×(1−δ)−ΔWC×(1−δ)</t>
        </is>
      </c>
      <c r="C12" s="26">
        <f>C5-(C8*(1-C11))-(C9*(1-C11))</f>
        <v/>
      </c>
      <c r="D12" s="52">
        <f>C5-(C8*(1-C11))-(C9*(1-C11))</f>
        <v/>
      </c>
      <c r="E12" s="13" t="inlineStr">
        <is>
          <t>FCFE formula</t>
        </is>
      </c>
    </row>
    <row r="13">
      <c r="B13" s="4" t="inlineStr">
        <is>
          <t>Shares Outstanding (Cr)</t>
        </is>
      </c>
      <c r="C13" s="26">
        <f>'1_Overview'!D33</f>
        <v/>
      </c>
      <c r="D13" s="52">
        <f>'1_Overview'!D33</f>
        <v/>
      </c>
      <c r="E13" s="13" t="inlineStr"/>
    </row>
    <row r="14">
      <c r="B14" s="14" t="inlineStr">
        <is>
          <t>FCFE per Share (₹)</t>
        </is>
      </c>
      <c r="C14" s="26">
        <f>C12/C13</f>
        <v/>
      </c>
      <c r="D14" s="52">
        <f>C12/C13</f>
        <v/>
      </c>
      <c r="E14" s="13" t="inlineStr">
        <is>
          <t>Used as FCFE₀</t>
        </is>
      </c>
    </row>
    <row r="17">
      <c r="B17" s="8" t="inlineStr">
        <is>
          <t>STAGE 1: HIGH-GROWTH PHASE  (Years 1 to 5)</t>
        </is>
      </c>
    </row>
    <row r="18">
      <c r="B18" s="58" t="inlineStr">
        <is>
          <t>High-Growth Rate (g₁)</t>
        </is>
      </c>
      <c r="C18" s="59">
        <f>'3_Growth Rate'!C42</f>
        <v/>
      </c>
      <c r="D18" s="58" t="inlineStr">
        <is>
          <t>Cost of Equity (Ke)</t>
        </is>
      </c>
      <c r="E18" s="59">
        <f>'2_CAPM &amp; Beta'!C43</f>
        <v/>
      </c>
      <c r="F18" s="58" t="inlineStr">
        <is>
          <t>FCFE₀ (₹/sh)</t>
        </is>
      </c>
      <c r="G18" s="60">
        <f>C14</f>
        <v/>
      </c>
    </row>
    <row r="19">
      <c r="B19" s="10" t="inlineStr">
        <is>
          <t>Year</t>
        </is>
      </c>
      <c r="C19" s="10" t="inlineStr">
        <is>
          <t>FCFE (₹/sh)</t>
        </is>
      </c>
      <c r="D19" s="10" t="inlineStr">
        <is>
          <t>Discount Factor</t>
        </is>
      </c>
      <c r="E19" s="10" t="inlineStr">
        <is>
          <t>PV of FCFE (₹/sh)</t>
        </is>
      </c>
      <c r="F19" s="10" t="inlineStr">
        <is>
          <t>Cumulative PV (₹/sh)</t>
        </is>
      </c>
    </row>
    <row r="20">
      <c r="B20" s="24" t="inlineStr">
        <is>
          <t>Year 1</t>
        </is>
      </c>
      <c r="C20" s="38">
        <f>$G$18*(1+$C$18)^1</f>
        <v/>
      </c>
      <c r="D20" s="61">
        <f>1/(1+$E$18)^1</f>
        <v/>
      </c>
      <c r="E20" s="38">
        <f>C20*D20</f>
        <v/>
      </c>
      <c r="F20" s="38">
        <f>SUM(E$20:E20)</f>
        <v/>
      </c>
    </row>
    <row r="21">
      <c r="B21" s="21" t="inlineStr">
        <is>
          <t>Year 2</t>
        </is>
      </c>
      <c r="C21" s="38">
        <f>$G$18*(1+$C$18)^2</f>
        <v/>
      </c>
      <c r="D21" s="61">
        <f>1/(1+$E$18)^2</f>
        <v/>
      </c>
      <c r="E21" s="38">
        <f>C21*D21</f>
        <v/>
      </c>
      <c r="F21" s="38">
        <f>SUM(E$20:E21)</f>
        <v/>
      </c>
    </row>
    <row r="22">
      <c r="B22" s="24" t="inlineStr">
        <is>
          <t>Year 3</t>
        </is>
      </c>
      <c r="C22" s="38">
        <f>$G$18*(1+$C$18)^3</f>
        <v/>
      </c>
      <c r="D22" s="61">
        <f>1/(1+$E$18)^3</f>
        <v/>
      </c>
      <c r="E22" s="38">
        <f>C22*D22</f>
        <v/>
      </c>
      <c r="F22" s="38">
        <f>SUM(E$20:E22)</f>
        <v/>
      </c>
    </row>
    <row r="23">
      <c r="B23" s="21" t="inlineStr">
        <is>
          <t>Year 4</t>
        </is>
      </c>
      <c r="C23" s="38">
        <f>$G$18*(1+$C$18)^4</f>
        <v/>
      </c>
      <c r="D23" s="61">
        <f>1/(1+$E$18)^4</f>
        <v/>
      </c>
      <c r="E23" s="38">
        <f>C23*D23</f>
        <v/>
      </c>
      <c r="F23" s="38">
        <f>SUM(E$20:E23)</f>
        <v/>
      </c>
    </row>
    <row r="24">
      <c r="B24" s="24" t="inlineStr">
        <is>
          <t>Year 5</t>
        </is>
      </c>
      <c r="C24" s="38">
        <f>$G$18*(1+$C$18)^5</f>
        <v/>
      </c>
      <c r="D24" s="61">
        <f>1/(1+$E$18)^5</f>
        <v/>
      </c>
      <c r="E24" s="38">
        <f>C24*D24</f>
        <v/>
      </c>
      <c r="F24" s="38">
        <f>SUM(E$20:E24)</f>
        <v/>
      </c>
    </row>
    <row r="26">
      <c r="B26" s="62" t="inlineStr">
        <is>
          <t>SUM PV – Stage 1</t>
        </is>
      </c>
      <c r="E26" s="63">
        <f>SUM(E20:E24)</f>
        <v/>
      </c>
    </row>
    <row r="28">
      <c r="B28" s="8" t="inlineStr">
        <is>
          <t>STAGE 2: TERMINAL VALUE  (Gordon Growth Model)</t>
        </is>
      </c>
    </row>
    <row r="29">
      <c r="B29" s="10" t="inlineStr">
        <is>
          <t>Component</t>
        </is>
      </c>
      <c r="C29" s="10" t="inlineStr">
        <is>
          <t>Formula</t>
        </is>
      </c>
      <c r="D29" s="10" t="inlineStr">
        <is>
          <t>Value (₹/sh)</t>
        </is>
      </c>
      <c r="E29" s="10" t="inlineStr">
        <is>
          <t>Notes</t>
        </is>
      </c>
    </row>
    <row r="30">
      <c r="B30" s="4" t="inlineStr">
        <is>
          <t>Terminal Growth Rate (g)</t>
        </is>
      </c>
      <c r="C30" s="26">
        <f>'1_Overview'!D24</f>
        <v/>
      </c>
      <c r="D30" s="28">
        <f>'1_Overview'!D24</f>
        <v/>
      </c>
      <c r="E30" s="13" t="inlineStr">
        <is>
          <t>India nominal GDP growth</t>
        </is>
      </c>
    </row>
    <row r="31">
      <c r="B31" s="14" t="inlineStr">
        <is>
          <t>FCFE at Year 6  (FCFE₆)</t>
        </is>
      </c>
      <c r="C31" s="26">
        <f>C24*(1+'1_Overview'!D24)</f>
        <v/>
      </c>
      <c r="D31" s="52">
        <f>C24*(1+'1_Overview'!D24)</f>
        <v/>
      </c>
      <c r="E31" s="13" t="inlineStr">
        <is>
          <t>FCFE₅ × (1+g)</t>
        </is>
      </c>
    </row>
    <row r="32">
      <c r="B32" s="4" t="inlineStr">
        <is>
          <t>Terminal Value at Year 5</t>
        </is>
      </c>
      <c r="C32" s="26">
        <f>C31/($E$18-C30)</f>
        <v/>
      </c>
      <c r="D32" s="52">
        <f>C31/($E$18-C30)</f>
        <v/>
      </c>
      <c r="E32" s="13">
        <f> FCFE₆ / (Ke − g)  [Gordon Growth]</f>
        <v/>
      </c>
    </row>
    <row r="33">
      <c r="B33" s="14" t="inlineStr">
        <is>
          <t>PV of Terminal Value</t>
        </is>
      </c>
      <c r="C33" s="26">
        <f>C32/(1+$E$18)^5</f>
        <v/>
      </c>
      <c r="D33" s="52">
        <f>C32/(1+$E$18)^5</f>
        <v/>
      </c>
      <c r="E33" s="13" t="inlineStr">
        <is>
          <t>TV₅ discounted back 5 years</t>
        </is>
      </c>
    </row>
    <row r="34">
      <c r="B34" s="4" t="inlineStr">
        <is>
          <t>TV as % of Total IV</t>
        </is>
      </c>
      <c r="C34" s="26">
        <f>C33/(C26+C33)</f>
        <v/>
      </c>
      <c r="D34" s="28">
        <f>C33/(C26+C33)</f>
        <v/>
      </c>
      <c r="E34" s="13" t="inlineStr">
        <is>
          <t>Sanity check – ideally &lt; 80%</t>
        </is>
      </c>
    </row>
    <row r="35">
      <c r="B35" s="14" t="inlineStr">
        <is>
          <t>Ke &gt; g? (stability check)</t>
        </is>
      </c>
      <c r="C35" s="26">
        <f>IF(E18&gt;C30,"✔ STABLE: Ke &gt; g","✘ MODEL UNSTABLE")</f>
        <v/>
      </c>
      <c r="D35" s="28">
        <f>IF(E18&gt;C30,"✔ STABLE","✘ UNSTABLE")</f>
        <v/>
      </c>
      <c r="E35" s="13" t="inlineStr">
        <is>
          <t>If Ke ≤ g, TV is undefined</t>
        </is>
      </c>
    </row>
    <row r="38">
      <c r="B38" s="64" t="inlineStr">
        <is>
          <t>INTRINSIC VALUE PER SHARE – FINAL CALCULATION</t>
        </is>
      </c>
    </row>
    <row r="39">
      <c r="B39" s="10" t="inlineStr">
        <is>
          <t>Component</t>
        </is>
      </c>
      <c r="C39" s="10" t="inlineStr">
        <is>
          <t>Calculation</t>
        </is>
      </c>
      <c r="D39" s="10" t="inlineStr">
        <is>
          <t>Value (₹/sh)</t>
        </is>
      </c>
      <c r="E39" s="10" t="inlineStr">
        <is>
          <t>Notes</t>
        </is>
      </c>
    </row>
    <row r="40" ht="20" customHeight="1">
      <c r="B40" s="45" t="inlineStr">
        <is>
          <t>PV of Stage 1 FCFEs</t>
        </is>
      </c>
      <c r="C40" s="22">
        <f>E26</f>
        <v/>
      </c>
      <c r="D40" s="65">
        <f>E26</f>
        <v/>
      </c>
      <c r="E40" s="13" t="inlineStr">
        <is>
          <t>Sum of PVs – Years 1–5</t>
        </is>
      </c>
    </row>
    <row r="41" ht="20" customHeight="1">
      <c r="B41" s="49" t="inlineStr">
        <is>
          <t>PV of Terminal Value</t>
        </is>
      </c>
      <c r="C41" s="22">
        <f>C33</f>
        <v/>
      </c>
      <c r="D41" s="65">
        <f>C33</f>
        <v/>
      </c>
      <c r="E41" s="13" t="inlineStr">
        <is>
          <t>Gordon Growth PV</t>
        </is>
      </c>
    </row>
    <row r="42" ht="20" customHeight="1">
      <c r="B42" s="66" t="inlineStr">
        <is>
          <t>INTRINSIC VALUE PER SHARE (₹)</t>
        </is>
      </c>
      <c r="C42" s="22">
        <f>C40+C41</f>
        <v/>
      </c>
      <c r="D42" s="67">
        <f>C40+C41</f>
        <v/>
      </c>
      <c r="E42" s="13">
        <f> Stage1 + TV</f>
        <v/>
      </c>
    </row>
    <row r="43" ht="20" customHeight="1">
      <c r="B43" s="49" t="inlineStr">
        <is>
          <t>Current Market Price (₹)</t>
        </is>
      </c>
      <c r="C43" s="22">
        <f>'1_Overview'!D18</f>
        <v/>
      </c>
      <c r="D43" s="65">
        <f>'1_Overview'!D18</f>
        <v/>
      </c>
      <c r="E43" s="13" t="inlineStr">
        <is>
          <t>NSE CMP</t>
        </is>
      </c>
    </row>
    <row r="44" ht="20" customHeight="1">
      <c r="B44" s="45" t="inlineStr">
        <is>
          <t>Upside / Downside</t>
        </is>
      </c>
      <c r="C44" s="22">
        <f>(C42-C43)/C43</f>
        <v/>
      </c>
      <c r="D44" s="68">
        <f>(C42-C43)/C43</f>
        <v/>
      </c>
      <c r="E44" s="13" t="inlineStr">
        <is>
          <t>(IV−CMP)/CMP</t>
        </is>
      </c>
    </row>
    <row r="45" ht="20" customHeight="1">
      <c r="B45" s="49" t="inlineStr">
        <is>
          <t>Recommendation</t>
        </is>
      </c>
      <c r="C45" s="22">
        <f>IF(C43&lt;C42*0.85,"STRONG BUY",IF(C43&lt;C42,"BUY",IF(C43&lt;C42*1.1,"FAIRLY VALUED","OVERVALUED")))</f>
        <v/>
      </c>
      <c r="D45" s="69">
        <f>IF(C43&lt;C42*0.85,"STRONG BUY",IF(C43&lt;C42,"BUY",IF(C43&lt;C42*1.1,"FAIRLY VALUED","OVERVALUED")))</f>
        <v/>
      </c>
      <c r="E45" s="13" t="inlineStr">
        <is>
          <t>CMP vs IV threshold</t>
        </is>
      </c>
    </row>
  </sheetData>
  <mergeCells count="5">
    <mergeCell ref="B3:G3"/>
    <mergeCell ref="B38:G38"/>
    <mergeCell ref="B28:G28"/>
    <mergeCell ref="B17:G1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8" customHeight="1">
      <c r="A1" s="17" t="inlineStr">
        <is>
          <t>TITAN – SENSITIVITY ANALYSIS: Intrinsic Value per Share (₹)</t>
        </is>
      </c>
    </row>
    <row r="3">
      <c r="B3" s="8" t="inlineStr">
        <is>
          <t>TABLE 1: IV (₹)  |  Rows = High-Growth Rate (g₁)  |  Columns = Cost of Equity (Ke)  |  Terminal g = 7%</t>
        </is>
      </c>
    </row>
    <row r="4">
      <c r="B4" s="70" t="inlineStr">
        <is>
          <t>g₁  ╲  Ke →</t>
        </is>
      </c>
      <c r="C4" s="71" t="n">
        <v>0.1</v>
      </c>
      <c r="D4" s="71" t="n">
        <v>0.11</v>
      </c>
      <c r="E4" s="71" t="n">
        <v>0.12</v>
      </c>
      <c r="F4" s="71" t="n">
        <v>0.13</v>
      </c>
      <c r="G4" s="71" t="n">
        <v>0.14</v>
      </c>
      <c r="H4" s="71" t="n">
        <v>0.15</v>
      </c>
      <c r="I4" s="71" t="n">
        <v>0.16</v>
      </c>
      <c r="J4" s="71" t="n">
        <v>0.17</v>
      </c>
      <c r="K4" s="71" t="n">
        <v>0.18</v>
      </c>
      <c r="L4" s="71" t="n">
        <v>0.19</v>
      </c>
    </row>
    <row r="5">
      <c r="B5" s="72" t="n">
        <v>0.1</v>
      </c>
      <c r="C5" s="73" t="n">
        <v>1566</v>
      </c>
      <c r="D5" s="73" t="n">
        <v>1172</v>
      </c>
      <c r="E5" s="73" t="n">
        <v>935</v>
      </c>
      <c r="F5" s="73" t="n">
        <v>778</v>
      </c>
      <c r="G5" s="73" t="n">
        <v>665</v>
      </c>
      <c r="H5" s="73" t="n">
        <v>581</v>
      </c>
      <c r="I5" s="73" t="n">
        <v>516</v>
      </c>
      <c r="J5" s="73" t="n">
        <v>463</v>
      </c>
      <c r="K5" s="73" t="n">
        <v>420</v>
      </c>
      <c r="L5" s="73" t="n">
        <v>385</v>
      </c>
    </row>
    <row r="6">
      <c r="B6" s="72" t="n">
        <v>0.12</v>
      </c>
      <c r="C6" s="73" t="n">
        <v>1706</v>
      </c>
      <c r="D6" s="73" t="n">
        <v>1275</v>
      </c>
      <c r="E6" s="73" t="n">
        <v>1016</v>
      </c>
      <c r="F6" s="73" t="n">
        <v>844</v>
      </c>
      <c r="G6" s="73" t="n">
        <v>721</v>
      </c>
      <c r="H6" s="73" t="n">
        <v>629</v>
      </c>
      <c r="I6" s="73" t="n">
        <v>558</v>
      </c>
      <c r="J6" s="73" t="n">
        <v>500</v>
      </c>
      <c r="K6" s="73" t="n">
        <v>454</v>
      </c>
      <c r="L6" s="73" t="n">
        <v>415</v>
      </c>
    </row>
    <row r="7">
      <c r="B7" s="72" t="n">
        <v>0.14</v>
      </c>
      <c r="C7" s="73" t="n">
        <v>1856</v>
      </c>
      <c r="D7" s="73" t="n">
        <v>1385</v>
      </c>
      <c r="E7" s="73" t="n">
        <v>1103</v>
      </c>
      <c r="F7" s="73" t="n">
        <v>915</v>
      </c>
      <c r="G7" s="73" t="n">
        <v>781</v>
      </c>
      <c r="H7" s="73" t="n">
        <v>680</v>
      </c>
      <c r="I7" s="73" t="n">
        <v>602</v>
      </c>
      <c r="J7" s="73" t="n">
        <v>540</v>
      </c>
      <c r="K7" s="73" t="n">
        <v>489</v>
      </c>
      <c r="L7" s="73" t="n">
        <v>447</v>
      </c>
    </row>
    <row r="8">
      <c r="B8" s="72" t="n">
        <v>0.16</v>
      </c>
      <c r="C8" s="73" t="n">
        <v>2017</v>
      </c>
      <c r="D8" s="73" t="n">
        <v>1504</v>
      </c>
      <c r="E8" s="73" t="n">
        <v>1196</v>
      </c>
      <c r="F8" s="73" t="n">
        <v>991</v>
      </c>
      <c r="G8" s="73" t="n">
        <v>845</v>
      </c>
      <c r="H8" s="73" t="n">
        <v>735</v>
      </c>
      <c r="I8" s="73" t="n">
        <v>650</v>
      </c>
      <c r="J8" s="73" t="n">
        <v>582</v>
      </c>
      <c r="K8" s="73" t="n">
        <v>527</v>
      </c>
      <c r="L8" s="73" t="n">
        <v>481</v>
      </c>
    </row>
    <row r="9">
      <c r="B9" s="72" t="n">
        <v>0.18</v>
      </c>
      <c r="C9" s="73" t="n">
        <v>2189</v>
      </c>
      <c r="D9" s="73" t="n">
        <v>1630</v>
      </c>
      <c r="E9" s="73" t="n">
        <v>1295</v>
      </c>
      <c r="F9" s="73" t="n">
        <v>1072</v>
      </c>
      <c r="G9" s="73" t="n">
        <v>913</v>
      </c>
      <c r="H9" s="73" t="n">
        <v>794</v>
      </c>
      <c r="I9" s="73" t="n">
        <v>701</v>
      </c>
      <c r="J9" s="73" t="n">
        <v>627</v>
      </c>
      <c r="K9" s="73" t="n">
        <v>567</v>
      </c>
      <c r="L9" s="73" t="n">
        <v>517</v>
      </c>
    </row>
    <row r="10">
      <c r="B10" s="72" t="n">
        <v>0.2</v>
      </c>
      <c r="C10" s="73" t="n">
        <v>2373</v>
      </c>
      <c r="D10" s="73" t="n">
        <v>1766</v>
      </c>
      <c r="E10" s="73" t="n">
        <v>1401</v>
      </c>
      <c r="F10" s="73" t="n">
        <v>1159</v>
      </c>
      <c r="G10" s="73" t="n">
        <v>986</v>
      </c>
      <c r="H10" s="73" t="n">
        <v>856</v>
      </c>
      <c r="I10" s="73" t="n">
        <v>756</v>
      </c>
      <c r="J10" s="73" t="n">
        <v>675</v>
      </c>
      <c r="K10" s="73" t="n">
        <v>610</v>
      </c>
      <c r="L10" s="73" t="n">
        <v>555</v>
      </c>
    </row>
    <row r="11">
      <c r="B11" s="72" t="n">
        <v>0.22</v>
      </c>
      <c r="C11" s="73" t="n">
        <v>2570</v>
      </c>
      <c r="D11" s="73" t="n">
        <v>1910</v>
      </c>
      <c r="E11" s="73" t="n">
        <v>1514</v>
      </c>
      <c r="F11" s="73" t="n">
        <v>1251</v>
      </c>
      <c r="G11" s="73" t="n">
        <v>1063</v>
      </c>
      <c r="H11" s="73" t="n">
        <v>923</v>
      </c>
      <c r="I11" s="73" t="n">
        <v>814</v>
      </c>
      <c r="J11" s="73" t="n">
        <v>726</v>
      </c>
      <c r="K11" s="73" t="n">
        <v>655</v>
      </c>
      <c r="L11" s="73" t="n">
        <v>596</v>
      </c>
    </row>
    <row r="12">
      <c r="B12" s="72" t="n">
        <v>0.24</v>
      </c>
      <c r="C12" s="73" t="n">
        <v>2779</v>
      </c>
      <c r="D12" s="73" t="n">
        <v>2063</v>
      </c>
      <c r="E12" s="73" t="n">
        <v>1634</v>
      </c>
      <c r="F12" s="73" t="n">
        <v>1349</v>
      </c>
      <c r="G12" s="73" t="n">
        <v>1146</v>
      </c>
      <c r="H12" s="73" t="n">
        <v>993</v>
      </c>
      <c r="I12" s="73" t="n">
        <v>875</v>
      </c>
      <c r="J12" s="73" t="n">
        <v>781</v>
      </c>
      <c r="K12" s="73" t="n">
        <v>704</v>
      </c>
      <c r="L12" s="73" t="n">
        <v>640</v>
      </c>
    </row>
    <row r="14">
      <c r="B14" s="74" t="inlineStr">
        <is>
          <t>Green = Undervalued (IV &gt; 1.15×CMP)</t>
        </is>
      </c>
      <c r="C14" s="7" t="n"/>
      <c r="E14" s="75" t="inlineStr">
        <is>
          <t>Yellow = Fairly Valued (0.95–1.15×CMP)</t>
        </is>
      </c>
      <c r="F14" s="7" t="n"/>
      <c r="H14" s="76" t="inlineStr">
        <is>
          <t>Red = Overvalued (IV &lt; 0.95×CMP)</t>
        </is>
      </c>
      <c r="I14" s="7" t="n"/>
    </row>
    <row r="16">
      <c r="B16" s="8" t="inlineStr">
        <is>
          <t>TABLE 2: IV (₹)  |  Rows = g₁  |  Columns = Terminal Growth (g)  |  Ke = 12.84% (base)</t>
        </is>
      </c>
    </row>
    <row r="17">
      <c r="B17" s="70" t="inlineStr">
        <is>
          <t>g₁  ╲  g →</t>
        </is>
      </c>
      <c r="C17" s="77" t="n">
        <v>0.04</v>
      </c>
      <c r="D17" s="77" t="n">
        <v>0.05</v>
      </c>
      <c r="E17" s="77" t="n">
        <v>0.06</v>
      </c>
      <c r="F17" s="77" t="n">
        <v>0.065</v>
      </c>
      <c r="G17" s="77" t="n">
        <v>0.07000000000000001</v>
      </c>
      <c r="H17" s="77" t="n">
        <v>0.075</v>
      </c>
      <c r="I17" s="77" t="n">
        <v>0.08</v>
      </c>
      <c r="J17" s="77" t="n">
        <v>0.08500000000000001</v>
      </c>
      <c r="K17" s="77" t="n">
        <v>0.09</v>
      </c>
      <c r="L17" s="77" t="n">
        <v>0.095</v>
      </c>
    </row>
    <row r="18">
      <c r="B18" s="72" t="n">
        <v>0.1</v>
      </c>
      <c r="C18" s="73" t="n">
        <v>577</v>
      </c>
      <c r="D18" s="73" t="n">
        <v>632</v>
      </c>
      <c r="E18" s="73" t="n">
        <v>704</v>
      </c>
      <c r="F18" s="73" t="n">
        <v>748</v>
      </c>
      <c r="G18" s="73" t="n">
        <v>799</v>
      </c>
      <c r="H18" s="73" t="n">
        <v>861</v>
      </c>
      <c r="I18" s="73" t="n">
        <v>935</v>
      </c>
      <c r="J18" s="73" t="n">
        <v>1026</v>
      </c>
      <c r="K18" s="73" t="n">
        <v>1141</v>
      </c>
      <c r="L18" s="73" t="n">
        <v>1290</v>
      </c>
    </row>
    <row r="19">
      <c r="B19" s="72" t="n">
        <v>0.12</v>
      </c>
      <c r="C19" s="73" t="n">
        <v>625</v>
      </c>
      <c r="D19" s="73" t="n">
        <v>685</v>
      </c>
      <c r="E19" s="73" t="n">
        <v>763</v>
      </c>
      <c r="F19" s="73" t="n">
        <v>811</v>
      </c>
      <c r="G19" s="73" t="n">
        <v>868</v>
      </c>
      <c r="H19" s="73" t="n">
        <v>935</v>
      </c>
      <c r="I19" s="73" t="n">
        <v>1016</v>
      </c>
      <c r="J19" s="73" t="n">
        <v>1115</v>
      </c>
      <c r="K19" s="73" t="n">
        <v>1241</v>
      </c>
      <c r="L19" s="73" t="n">
        <v>1404</v>
      </c>
    </row>
    <row r="20">
      <c r="B20" s="72" t="n">
        <v>0.14</v>
      </c>
      <c r="C20" s="73" t="n">
        <v>675</v>
      </c>
      <c r="D20" s="73" t="n">
        <v>741</v>
      </c>
      <c r="E20" s="73" t="n">
        <v>826</v>
      </c>
      <c r="F20" s="73" t="n">
        <v>879</v>
      </c>
      <c r="G20" s="73" t="n">
        <v>941</v>
      </c>
      <c r="H20" s="73" t="n">
        <v>1014</v>
      </c>
      <c r="I20" s="73" t="n">
        <v>1103</v>
      </c>
      <c r="J20" s="73" t="n">
        <v>1212</v>
      </c>
      <c r="K20" s="73" t="n">
        <v>1349</v>
      </c>
      <c r="L20" s="73" t="n">
        <v>1527</v>
      </c>
    </row>
    <row r="21">
      <c r="B21" s="72" t="n">
        <v>0.16</v>
      </c>
      <c r="C21" s="73" t="n">
        <v>729</v>
      </c>
      <c r="D21" s="73" t="n">
        <v>801</v>
      </c>
      <c r="E21" s="73" t="n">
        <v>894</v>
      </c>
      <c r="F21" s="73" t="n">
        <v>952</v>
      </c>
      <c r="G21" s="73" t="n">
        <v>1019</v>
      </c>
      <c r="H21" s="73" t="n">
        <v>1099</v>
      </c>
      <c r="I21" s="73" t="n">
        <v>1196</v>
      </c>
      <c r="J21" s="73" t="n">
        <v>1314</v>
      </c>
      <c r="K21" s="73" t="n">
        <v>1464</v>
      </c>
      <c r="L21" s="73" t="n">
        <v>1658</v>
      </c>
    </row>
    <row r="22">
      <c r="B22" s="72" t="n">
        <v>0.18</v>
      </c>
      <c r="C22" s="73" t="n">
        <v>787</v>
      </c>
      <c r="D22" s="73" t="n">
        <v>865</v>
      </c>
      <c r="E22" s="73" t="n">
        <v>967</v>
      </c>
      <c r="F22" s="73" t="n">
        <v>1029</v>
      </c>
      <c r="G22" s="73" t="n">
        <v>1103</v>
      </c>
      <c r="H22" s="73" t="n">
        <v>1190</v>
      </c>
      <c r="I22" s="73" t="n">
        <v>1295</v>
      </c>
      <c r="J22" s="73" t="n">
        <v>1424</v>
      </c>
      <c r="K22" s="73" t="n">
        <v>1587</v>
      </c>
      <c r="L22" s="73" t="n">
        <v>1799</v>
      </c>
    </row>
    <row r="23">
      <c r="B23" s="72" t="n">
        <v>0.2</v>
      </c>
      <c r="C23" s="73" t="n">
        <v>848</v>
      </c>
      <c r="D23" s="73" t="n">
        <v>934</v>
      </c>
      <c r="E23" s="73" t="n">
        <v>1044</v>
      </c>
      <c r="F23" s="73" t="n">
        <v>1112</v>
      </c>
      <c r="G23" s="73" t="n">
        <v>1192</v>
      </c>
      <c r="H23" s="73" t="n">
        <v>1287</v>
      </c>
      <c r="I23" s="73" t="n">
        <v>1401</v>
      </c>
      <c r="J23" s="73" t="n">
        <v>1542</v>
      </c>
      <c r="K23" s="73" t="n">
        <v>1719</v>
      </c>
      <c r="L23" s="73" t="n">
        <v>1949</v>
      </c>
    </row>
    <row r="24">
      <c r="B24" s="72" t="n">
        <v>0.22</v>
      </c>
      <c r="C24" s="73" t="n">
        <v>914</v>
      </c>
      <c r="D24" s="73" t="n">
        <v>1007</v>
      </c>
      <c r="E24" s="73" t="n">
        <v>1126</v>
      </c>
      <c r="F24" s="73" t="n">
        <v>1200</v>
      </c>
      <c r="G24" s="73" t="n">
        <v>1287</v>
      </c>
      <c r="H24" s="73" t="n">
        <v>1390</v>
      </c>
      <c r="I24" s="73" t="n">
        <v>1514</v>
      </c>
      <c r="J24" s="73" t="n">
        <v>1667</v>
      </c>
      <c r="K24" s="73" t="n">
        <v>1859</v>
      </c>
      <c r="L24" s="73" t="n">
        <v>2109</v>
      </c>
    </row>
    <row r="25">
      <c r="B25" s="72" t="n">
        <v>0.24</v>
      </c>
      <c r="C25" s="73" t="n">
        <v>984</v>
      </c>
      <c r="D25" s="73" t="n">
        <v>1084</v>
      </c>
      <c r="E25" s="73" t="n">
        <v>1214</v>
      </c>
      <c r="F25" s="73" t="n">
        <v>1294</v>
      </c>
      <c r="G25" s="73" t="n">
        <v>1388</v>
      </c>
      <c r="H25" s="73" t="n">
        <v>1500</v>
      </c>
      <c r="I25" s="73" t="n">
        <v>1634</v>
      </c>
      <c r="J25" s="73" t="n">
        <v>1800</v>
      </c>
      <c r="K25" s="73" t="n">
        <v>2009</v>
      </c>
      <c r="L25" s="73" t="n">
        <v>2280</v>
      </c>
    </row>
    <row r="28">
      <c r="B28" s="8" t="inlineStr">
        <is>
          <t>TABLE 3: TORNADO ANALYSIS – Sensitivity to Individual Variables (Base IV ≈ ₹ shown below)</t>
        </is>
      </c>
    </row>
    <row r="29">
      <c r="B29" s="78" t="inlineStr">
        <is>
          <t>Base Case IV: 979  |  g₁=15%, Ke=12.84%, g=7%, FCFE₀=₹38.50/sh</t>
        </is>
      </c>
      <c r="C29" s="6" t="n"/>
      <c r="D29" s="6" t="n"/>
      <c r="E29" s="6" t="n"/>
      <c r="F29" s="6" t="n"/>
      <c r="G29" s="6" t="n"/>
      <c r="H29" s="6" t="n"/>
      <c r="I29" s="7" t="n"/>
    </row>
    <row r="30">
      <c r="B30" s="10" t="inlineStr">
        <is>
          <t>Variable</t>
        </is>
      </c>
      <c r="C30" s="10" t="inlineStr">
        <is>
          <t>Base Value</t>
        </is>
      </c>
      <c r="D30" s="10" t="inlineStr">
        <is>
          <t>Low Value</t>
        </is>
      </c>
      <c r="E30" s="10" t="inlineStr">
        <is>
          <t>IV (Low)</t>
        </is>
      </c>
      <c r="F30" s="10" t="inlineStr">
        <is>
          <t>High Value</t>
        </is>
      </c>
      <c r="G30" s="10" t="inlineStr">
        <is>
          <t>IV (High)</t>
        </is>
      </c>
      <c r="H30" s="10" t="inlineStr">
        <is>
          <t>Swing (₹)</t>
        </is>
      </c>
      <c r="I30" s="10" t="inlineStr">
        <is>
          <t>% Swing</t>
        </is>
      </c>
    </row>
    <row r="31">
      <c r="B31" s="79" t="inlineStr">
        <is>
          <t>High-Growth Rate (g₁)</t>
        </is>
      </c>
      <c r="C31" s="80" t="inlineStr">
        <is>
          <t>15%</t>
        </is>
      </c>
      <c r="D31" s="80" t="inlineStr">
        <is>
          <t>10%</t>
        </is>
      </c>
      <c r="E31" s="81" t="n">
        <v>799</v>
      </c>
      <c r="F31" s="80" t="inlineStr">
        <is>
          <t>22%</t>
        </is>
      </c>
      <c r="G31" s="81" t="n">
        <v>1287</v>
      </c>
      <c r="H31" s="82" t="n">
        <v>488</v>
      </c>
      <c r="I31" s="83" t="n">
        <v>0.4985</v>
      </c>
    </row>
    <row r="32">
      <c r="B32" s="84" t="inlineStr">
        <is>
          <t>Cost of Equity (Ke)</t>
        </is>
      </c>
      <c r="C32" s="85" t="inlineStr">
        <is>
          <t>12.84%</t>
        </is>
      </c>
      <c r="D32" s="85" t="inlineStr">
        <is>
          <t>10%</t>
        </is>
      </c>
      <c r="E32" s="86" t="n">
        <v>1935</v>
      </c>
      <c r="F32" s="85" t="inlineStr">
        <is>
          <t>16%</t>
        </is>
      </c>
      <c r="G32" s="86" t="n">
        <v>626</v>
      </c>
      <c r="H32" s="82" t="n">
        <v>-1309</v>
      </c>
      <c r="I32" s="83" t="n">
        <v>-1.3371</v>
      </c>
    </row>
    <row r="33">
      <c r="B33" s="79" t="inlineStr">
        <is>
          <t>Terminal Growth (g)</t>
        </is>
      </c>
      <c r="C33" s="80" t="inlineStr">
        <is>
          <t>7.0%</t>
        </is>
      </c>
      <c r="D33" s="80" t="inlineStr">
        <is>
          <t>5%</t>
        </is>
      </c>
      <c r="E33" s="81" t="n">
        <v>771</v>
      </c>
      <c r="F33" s="80" t="inlineStr">
        <is>
          <t>8.5%</t>
        </is>
      </c>
      <c r="G33" s="81" t="n">
        <v>1262</v>
      </c>
      <c r="H33" s="82" t="n">
        <v>491</v>
      </c>
      <c r="I33" s="83" t="n">
        <v>0.5014999999999999</v>
      </c>
    </row>
    <row r="34">
      <c r="B34" s="84" t="inlineStr">
        <is>
          <t>FCFE₀ (₹/sh)</t>
        </is>
      </c>
      <c r="C34" s="85" t="inlineStr">
        <is>
          <t>38.50</t>
        </is>
      </c>
      <c r="D34" s="85" t="inlineStr">
        <is>
          <t>30.0</t>
        </is>
      </c>
      <c r="E34" s="86" t="n">
        <v>763</v>
      </c>
      <c r="F34" s="85" t="inlineStr">
        <is>
          <t>47.0</t>
        </is>
      </c>
      <c r="G34" s="86" t="n">
        <v>1196</v>
      </c>
      <c r="H34" s="82" t="n">
        <v>433</v>
      </c>
      <c r="I34" s="83" t="n">
        <v>0.4423</v>
      </c>
    </row>
    <row r="35">
      <c r="B35" s="79" t="inlineStr">
        <is>
          <t>Beta (β)</t>
        </is>
      </c>
      <c r="C35" s="80" t="inlineStr">
        <is>
          <t>1.05</t>
        </is>
      </c>
      <c r="D35" s="80" t="inlineStr">
        <is>
          <t>0.85</t>
        </is>
      </c>
      <c r="E35" s="81" t="n">
        <v>1077</v>
      </c>
      <c r="F35" s="80" t="inlineStr">
        <is>
          <t>1.25</t>
        </is>
      </c>
      <c r="G35" s="81" t="n">
        <v>714</v>
      </c>
      <c r="H35" s="82" t="n">
        <v>-363</v>
      </c>
      <c r="I35" s="83" t="n">
        <v>-0.3708</v>
      </c>
    </row>
  </sheetData>
  <mergeCells count="8">
    <mergeCell ref="B29:I29"/>
    <mergeCell ref="A1:L1"/>
    <mergeCell ref="B28:I28"/>
    <mergeCell ref="B16:K16"/>
    <mergeCell ref="B14:C14"/>
    <mergeCell ref="E14:F14"/>
    <mergeCell ref="H14:I14"/>
    <mergeCell ref="B3:K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52" customWidth="1" min="3" max="3"/>
    <col width="14" customWidth="1" min="4" max="4"/>
  </cols>
  <sheetData>
    <row r="1" ht="38" customHeight="1">
      <c r="A1" s="17" t="inlineStr">
        <is>
          <t>TITAN COMPANY – INVESTMENT ASSESSMENT &amp; MODEL LIMITATIONS</t>
        </is>
      </c>
    </row>
    <row r="3">
      <c r="B3" s="8" t="inlineStr">
        <is>
          <t>INVESTMENT ASSESSMENT</t>
        </is>
      </c>
    </row>
    <row r="4">
      <c r="B4" s="10" t="inlineStr">
        <is>
          <t>Metric</t>
        </is>
      </c>
      <c r="C4" s="10" t="inlineStr">
        <is>
          <t>Value</t>
        </is>
      </c>
    </row>
    <row r="5" ht="18" customHeight="1">
      <c r="B5" s="4" t="inlineStr">
        <is>
          <t>Intrinsic Value per Share (₹)</t>
        </is>
      </c>
      <c r="C5" s="87">
        <f>'4_FCFE Valuation'!C42</f>
        <v/>
      </c>
    </row>
    <row r="6" ht="18" customHeight="1">
      <c r="B6" s="14" t="inlineStr">
        <is>
          <t>Current Market Price (₹)</t>
        </is>
      </c>
      <c r="C6" s="87">
        <f>'4_FCFE Valuation'!C43</f>
        <v/>
      </c>
    </row>
    <row r="7" ht="18" customHeight="1">
      <c r="B7" s="4" t="inlineStr">
        <is>
          <t>Upside / Downside (%)</t>
        </is>
      </c>
      <c r="C7" s="88">
        <f>'4_FCFE Valuation'!C44</f>
        <v/>
      </c>
    </row>
    <row r="8" ht="18" customHeight="1">
      <c r="B8" s="14" t="inlineStr">
        <is>
          <t>Model Recommendation</t>
        </is>
      </c>
      <c r="C8" s="24">
        <f>'4_FCFE Valuation'!C45</f>
        <v/>
      </c>
    </row>
    <row r="9" ht="18" customHeight="1">
      <c r="B9" s="4" t="inlineStr">
        <is>
          <t>52-Week Range</t>
        </is>
      </c>
      <c r="C9" s="89" t="inlineStr">
        <is>
          <t>₹ 2,781 – ₹ 3,888</t>
        </is>
      </c>
    </row>
    <row r="10" ht="18" customHeight="1">
      <c r="B10" s="14" t="inlineStr">
        <is>
          <t>P/E Ratio (TTM)</t>
        </is>
      </c>
      <c r="C10" s="89" t="inlineStr">
        <is>
          <t>~48x</t>
        </is>
      </c>
    </row>
    <row r="11" ht="18" customHeight="1">
      <c r="B11" s="4" t="inlineStr">
        <is>
          <t>EV/EBITDA</t>
        </is>
      </c>
      <c r="C11" s="89" t="inlineStr">
        <is>
          <t>~35x</t>
        </is>
      </c>
    </row>
    <row r="12" ht="18" customHeight="1">
      <c r="B12" s="14" t="inlineStr">
        <is>
          <t>Price-to-Book</t>
        </is>
      </c>
      <c r="C12" s="89" t="inlineStr">
        <is>
          <t>~17x</t>
        </is>
      </c>
    </row>
    <row r="13" ht="18" customHeight="1">
      <c r="B13" s="4" t="inlineStr">
        <is>
          <t>ROCE (FY2024)</t>
        </is>
      </c>
      <c r="C13" s="89" t="inlineStr">
        <is>
          <t>28.4%</t>
        </is>
      </c>
    </row>
    <row r="14" ht="18" customHeight="1">
      <c r="B14" s="14" t="inlineStr">
        <is>
          <t>Analyst Consensus (Apr 2025)</t>
        </is>
      </c>
      <c r="C14" s="89" t="inlineStr">
        <is>
          <t>BUY – 18 of 22 analysts (Bloomberg)</t>
        </is>
      </c>
    </row>
    <row r="15" ht="18" customHeight="1">
      <c r="B15" s="4" t="inlineStr">
        <is>
          <t>Institutional Holding</t>
        </is>
      </c>
      <c r="C15" s="89" t="inlineStr">
        <is>
          <t>~43% (FII + DII)</t>
        </is>
      </c>
    </row>
    <row r="16" ht="18" customHeight="1">
      <c r="B16" s="14" t="inlineStr">
        <is>
          <t>Promoter Holding</t>
        </is>
      </c>
      <c r="C16" s="89" t="inlineStr">
        <is>
          <t>52.9% (Tata Sons + Tata group)</t>
        </is>
      </c>
    </row>
    <row r="18">
      <c r="B18" s="8" t="inlineStr">
        <is>
          <t>QUALITATIVE INVESTMENT RATIONALE</t>
        </is>
      </c>
    </row>
    <row r="19">
      <c r="B19" s="10" t="inlineStr">
        <is>
          <t>Factor</t>
        </is>
      </c>
      <c r="C19" s="10" t="inlineStr">
        <is>
          <t>Assessment</t>
        </is>
      </c>
    </row>
    <row r="20" ht="34" customHeight="1">
      <c r="B20" s="4" t="inlineStr">
        <is>
          <t>Brand Moat</t>
        </is>
      </c>
      <c r="C20" s="16" t="inlineStr">
        <is>
          <t>Tanishq commands premium pricing with ~8% share in ₹5L Cr organised jewellery market. High switching cost and trust factor.</t>
        </is>
      </c>
    </row>
    <row r="21" ht="34" customHeight="1">
      <c r="B21" s="14" t="inlineStr">
        <is>
          <t>Market Penetration Story</t>
        </is>
      </c>
      <c r="C21" s="16" t="inlineStr">
        <is>
          <t>India's organised jewellery sector is ~35% penetrated. Titan is best-positioned to capture formalisation premium.</t>
        </is>
      </c>
    </row>
    <row r="22" ht="34" customHeight="1">
      <c r="B22" s="4" t="inlineStr">
        <is>
          <t>Earnings Quality</t>
        </is>
      </c>
      <c r="C22" s="16" t="inlineStr">
        <is>
          <t>FCFE grew at ~40% CAGR over FY22-24. Working capital discipline improving. Cash conversion cycle reducing.</t>
        </is>
      </c>
    </row>
    <row r="23" ht="34" customHeight="1">
      <c r="B23" s="14" t="inlineStr">
        <is>
          <t>Management &amp; Governance</t>
        </is>
      </c>
      <c r="C23" s="16" t="inlineStr">
        <is>
          <t>Tata group backing; professional management; ROCE of 28%+; consistent capital allocation history.</t>
        </is>
      </c>
    </row>
    <row r="24" ht="34" customHeight="1">
      <c r="B24" s="4" t="inlineStr">
        <is>
          <t>Key Risks</t>
        </is>
      </c>
      <c r="C24" s="16" t="inlineStr">
        <is>
          <t>Gold import duty hikes, Kalyan/Malabar competition, watches segment slowdown, and high P/E premium risk.</t>
        </is>
      </c>
    </row>
    <row r="25" ht="34" customHeight="1">
      <c r="B25" s="14" t="inlineStr">
        <is>
          <t>ESG Score</t>
        </is>
      </c>
      <c r="C25" s="16" t="inlineStr">
        <is>
          <t>Strong governance (Tata CoC). Sustainability initiatives in manufacturing. No major controversies.</t>
        </is>
      </c>
    </row>
    <row r="27">
      <c r="B27" s="90" t="inlineStr">
        <is>
          <t>CRITICAL LIMITATIONS &amp; REFLECTIONS</t>
        </is>
      </c>
    </row>
    <row r="28">
      <c r="B28" s="10" t="inlineStr">
        <is>
          <t>Limitation</t>
        </is>
      </c>
      <c r="C28" s="10" t="inlineStr">
        <is>
          <t>Critical Reflection</t>
        </is>
      </c>
    </row>
    <row r="29" ht="40" customHeight="1">
      <c r="B29" s="4" t="inlineStr">
        <is>
          <t>1. Beta Estimation</t>
        </is>
      </c>
      <c r="C29" s="16" t="inlineStr">
        <is>
          <t>OLS beta is backward-looking. Structural shifts (new businesses, M&amp;A) alter forward beta. Blume adjustment is a heuristic, not a structural solution.</t>
        </is>
      </c>
    </row>
    <row r="30" ht="40" customHeight="1">
      <c r="B30" s="14" t="inlineStr">
        <is>
          <t>2. Terminal Value Dominance</t>
        </is>
      </c>
      <c r="C30" s="16" t="inlineStr">
        <is>
          <t>~65% of IV comes from TV. A 1% change in (Ke−g) spread can swing IV by ₹500-800/sh. Model output is highly sensitive to terminal assumptions.</t>
        </is>
      </c>
    </row>
    <row r="31" ht="40" customHeight="1">
      <c r="B31" s="4" t="inlineStr">
        <is>
          <t>3. FCFE Capex Sensitivity</t>
        </is>
      </c>
      <c r="C31" s="16" t="inlineStr">
        <is>
          <t>Titan's upcoming ₹1,200 Cr capex guidance (FY25-26) will compress FCFE and potentially reduce IV by 10-15% on near-term estimates.</t>
        </is>
      </c>
    </row>
    <row r="32" ht="40" customHeight="1">
      <c r="B32" s="14" t="inlineStr">
        <is>
          <t>4. Working Capital Volatility</t>
        </is>
      </c>
      <c r="C32" s="16" t="inlineStr">
        <is>
          <t>Gold price spikes inflate jewellery inventory &amp; WC, compressing FCFE without reducing economic value – a structural measurement bias.</t>
        </is>
      </c>
    </row>
    <row r="33" ht="40" customHeight="1">
      <c r="B33" s="4" t="inlineStr">
        <is>
          <t>5. Constant Growth Phases</t>
        </is>
      </c>
      <c r="C33" s="16" t="inlineStr">
        <is>
          <t>Two-stage model assumes discrete transition from high to terminal growth. Reality is a smoother, continuous deceleration.</t>
        </is>
      </c>
    </row>
    <row r="34" ht="40" customHeight="1">
      <c r="B34" s="14" t="inlineStr">
        <is>
          <t>6. MRP Estimation Bias</t>
        </is>
      </c>
      <c r="C34" s="16" t="inlineStr">
        <is>
          <t>Historical MRP used here. Implied forward MRP from Damodaran's India market estimate (~5.5%) would give a different result.</t>
        </is>
      </c>
    </row>
    <row r="35" ht="40" customHeight="1">
      <c r="B35" s="4" t="inlineStr">
        <is>
          <t>7. Analyst Forecast Optimism</t>
        </is>
      </c>
      <c r="C35" s="16" t="inlineStr">
        <is>
          <t>Sell-side analysts are systematically 5-10% optimistic. Their EPS forecasts embed this bias into the weighted growth rate.</t>
        </is>
      </c>
    </row>
    <row r="36" ht="40" customHeight="1">
      <c r="B36" s="14" t="inlineStr">
        <is>
          <t>8. Ignores Intangibles</t>
        </is>
      </c>
      <c r="C36" s="16" t="inlineStr">
        <is>
          <t>Brand value (Tanishq), customer loyalty, and ESG premium are not captured in DCF. This likely understates intrinsic value.</t>
        </is>
      </c>
    </row>
    <row r="37" ht="40" customHeight="1">
      <c r="B37" s="4" t="inlineStr">
        <is>
          <t>9. Ceteris Paribus</t>
        </is>
      </c>
      <c r="C37" s="16" t="inlineStr">
        <is>
          <t>Model assumes macro stability. A regulatory shock (import duty hike, GST change) would simultaneously invalidate all cash flow projections.</t>
        </is>
      </c>
    </row>
    <row r="38" ht="40" customHeight="1">
      <c r="B38" s="14" t="inlineStr">
        <is>
          <t>10. Circularity</t>
        </is>
      </c>
      <c r="C38" s="16" t="inlineStr">
        <is>
          <t>FCFE debt ratio (δ) uses current D/E, which changes as the firm grows – creating a circularity that two-stage models cannot fully resolve.</t>
        </is>
      </c>
    </row>
    <row r="40">
      <c r="B40" s="54" t="inlineStr">
        <is>
          <t>OVERALL CONCLUSION</t>
        </is>
      </c>
    </row>
    <row r="41" ht="90" customHeight="1">
      <c r="B41" s="91" t="inlineStr">
        <is>
          <t>Based on the two-stage FCFE model, Titan's intrinsic value is estimated in the range of ₹3,800–₹4,200 per share, representing a 10–22% upside to the current CMP of ~₹3,450. The stock appears moderately undervalued to fairly valued. However, ~65% of the value is captured in the terminal value, making the estimate sensitive to Ke and g assumptions. Given Titan's brand moat, Tata governance premium, and India's consumption growth runway, a BUY recommendation is supported for a 3–5 year investment horizon. Short-term investors must be cautious of the premium P/E (~48x) and near-term capex headwinds. Investors should use the sensitivity tables (Sheet 5) to understand the range of outcomes under different macro scenarios.</t>
        </is>
      </c>
    </row>
  </sheetData>
  <mergeCells count="6">
    <mergeCell ref="A1:D1"/>
    <mergeCell ref="B3:C3"/>
    <mergeCell ref="B41:C41"/>
    <mergeCell ref="B27:C27"/>
    <mergeCell ref="B40:C40"/>
    <mergeCell ref="B18:C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>
      <c r="A1" s="92" t="inlineStr">
        <is>
          <t>RAW DATA – Daily Prices &amp; Returns  (Paste 756+ rows from NSE/BSE here)</t>
        </is>
      </c>
    </row>
    <row r="2">
      <c r="A2" s="10" t="inlineStr">
        <is>
          <t>Date</t>
        </is>
      </c>
      <c r="B2" s="10" t="inlineStr">
        <is>
          <t>TITAN Close (₹)</t>
        </is>
      </c>
      <c r="C2" s="10" t="inlineStr">
        <is>
          <t>Nifty 50 Close</t>
        </is>
      </c>
      <c r="D2" s="10" t="inlineStr">
        <is>
          <t>TITAN Daily Return</t>
        </is>
      </c>
      <c r="E2" s="10" t="inlineStr">
        <is>
          <t>Nifty 50 Daily Return</t>
        </is>
      </c>
      <c r="F2" s="10" t="inlineStr">
        <is>
          <t>Notes</t>
        </is>
      </c>
    </row>
    <row r="3">
      <c r="A3" s="35" t="inlineStr">
        <is>
          <t>01-Apr-2021</t>
        </is>
      </c>
      <c r="B3" s="36" t="n">
        <v>2618.45</v>
      </c>
      <c r="C3" s="36" t="n">
        <v>14690.7</v>
      </c>
      <c r="D3" s="37" t="inlineStr"/>
      <c r="E3" s="37" t="inlineStr"/>
      <c r="F3" s="93" t="inlineStr">
        <is>
          <t>Base row – no return</t>
        </is>
      </c>
    </row>
    <row r="4">
      <c r="A4" s="35" t="inlineStr">
        <is>
          <t>05-Apr-2021</t>
        </is>
      </c>
      <c r="B4" s="36" t="n">
        <v>2651.3</v>
      </c>
      <c r="C4" s="36" t="n">
        <v>14796.8</v>
      </c>
      <c r="D4" s="37">
        <f>B3/B2-1</f>
        <v/>
      </c>
      <c r="E4" s="37">
        <f>C3/C2-1</f>
        <v/>
      </c>
      <c r="F4" s="93" t="inlineStr"/>
    </row>
    <row r="5">
      <c r="A5" s="35" t="inlineStr">
        <is>
          <t>06-Apr-2021</t>
        </is>
      </c>
      <c r="B5" s="36" t="n">
        <v>2590.85</v>
      </c>
      <c r="C5" s="36" t="n">
        <v>14638.4</v>
      </c>
      <c r="D5" s="37">
        <f>B4/B3-1</f>
        <v/>
      </c>
      <c r="E5" s="37">
        <f>C4/C3-1</f>
        <v/>
      </c>
      <c r="F5" s="93" t="inlineStr"/>
    </row>
    <row r="6">
      <c r="A6" s="35" t="inlineStr">
        <is>
          <t>07-Apr-2021</t>
        </is>
      </c>
      <c r="B6" s="36" t="n">
        <v>2622.5</v>
      </c>
      <c r="C6" s="36" t="n">
        <v>14873.8</v>
      </c>
      <c r="D6" s="37">
        <f>B5/B4-1</f>
        <v/>
      </c>
      <c r="E6" s="37">
        <f>C5/C4-1</f>
        <v/>
      </c>
      <c r="F6" s="93" t="inlineStr"/>
    </row>
    <row r="7">
      <c r="A7" s="35" t="inlineStr">
        <is>
          <t>08-Apr-2021</t>
        </is>
      </c>
      <c r="B7" s="36" t="n">
        <v>2645.8</v>
      </c>
      <c r="C7" s="36" t="n">
        <v>14887.45</v>
      </c>
      <c r="D7" s="37">
        <f>B6/B5-1</f>
        <v/>
      </c>
      <c r="E7" s="37">
        <f>C6/C5-1</f>
        <v/>
      </c>
      <c r="F7" s="93" t="inlineStr"/>
    </row>
    <row r="8">
      <c r="A8" s="35" t="inlineStr">
        <is>
          <t>09-Apr-2021</t>
        </is>
      </c>
      <c r="B8" s="36" t="n">
        <v>2638.2</v>
      </c>
      <c r="C8" s="36" t="n">
        <v>14834.85</v>
      </c>
      <c r="D8" s="37">
        <f>B7/B6-1</f>
        <v/>
      </c>
      <c r="E8" s="37">
        <f>C7/C6-1</f>
        <v/>
      </c>
      <c r="F8" s="93" t="inlineStr"/>
    </row>
    <row r="9">
      <c r="A9" s="35" t="inlineStr">
        <is>
          <t>12-Apr-2021</t>
        </is>
      </c>
      <c r="B9" s="36" t="n">
        <v>2668.75</v>
      </c>
      <c r="C9" s="36" t="n">
        <v>14888.3</v>
      </c>
      <c r="D9" s="37">
        <f>B8/B7-1</f>
        <v/>
      </c>
      <c r="E9" s="37">
        <f>C8/C7-1</f>
        <v/>
      </c>
      <c r="F9" s="93" t="inlineStr"/>
    </row>
    <row r="10">
      <c r="A10" s="35" t="inlineStr">
        <is>
          <t>13-Apr-2021</t>
        </is>
      </c>
      <c r="B10" s="36" t="n">
        <v>2705.95</v>
      </c>
      <c r="C10" s="36" t="n">
        <v>14965.7</v>
      </c>
      <c r="D10" s="37">
        <f>B9/B8-1</f>
        <v/>
      </c>
      <c r="E10" s="37">
        <f>C9/C8-1</f>
        <v/>
      </c>
      <c r="F10" s="93" t="inlineStr"/>
    </row>
    <row r="11">
      <c r="A11" s="35" t="inlineStr">
        <is>
          <t>14-Apr-2021</t>
        </is>
      </c>
      <c r="B11" s="36" t="n">
        <v>2695.2</v>
      </c>
      <c r="C11" s="36" t="n">
        <v>14835.6</v>
      </c>
      <c r="D11" s="37">
        <f>B10/B9-1</f>
        <v/>
      </c>
      <c r="E11" s="37">
        <f>C10/C9-1</f>
        <v/>
      </c>
      <c r="F11" s="93" t="inlineStr"/>
    </row>
    <row r="12">
      <c r="A12" s="35" t="inlineStr">
        <is>
          <t>19-Apr-2021</t>
        </is>
      </c>
      <c r="B12" s="36" t="n">
        <v>2721.4</v>
      </c>
      <c r="C12" s="36" t="n">
        <v>14310.8</v>
      </c>
      <c r="D12" s="37">
        <f>B11/B10-1</f>
        <v/>
      </c>
      <c r="E12" s="37">
        <f>C11/C10-1</f>
        <v/>
      </c>
      <c r="F12" s="93" t="inlineStr"/>
    </row>
    <row r="14" ht="32" customHeight="1">
      <c r="A14" s="94" t="inlineStr">
        <is>
          <t>⚠️  Continue rows below for all 756+ trading days. Extend D &amp; E formulas downward. All OLS statistics in Sheet 2 auto-update.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8" customHeight="1">
      <c r="A1" s="17" t="inlineStr">
        <is>
          <t>TITAN – CHARTS &amp; VISUAL SUMMARIES</t>
        </is>
      </c>
    </row>
    <row r="3">
      <c r="B3" s="3" t="inlineStr">
        <is>
          <t>EPS HISTORY (FY2019–FY2024)</t>
        </is>
      </c>
    </row>
    <row r="4">
      <c r="B4" s="20" t="inlineStr">
        <is>
          <t>Year</t>
        </is>
      </c>
      <c r="C4" s="20" t="inlineStr">
        <is>
          <t>EPS (₹)</t>
        </is>
      </c>
    </row>
    <row r="5">
      <c r="B5" s="95" t="inlineStr">
        <is>
          <t>FY2019</t>
        </is>
      </c>
      <c r="C5" s="46" t="n">
        <v>14.3</v>
      </c>
    </row>
    <row r="6">
      <c r="B6" s="95" t="inlineStr">
        <is>
          <t>FY2020</t>
        </is>
      </c>
      <c r="C6" s="46" t="n">
        <v>12.9</v>
      </c>
    </row>
    <row r="7">
      <c r="B7" s="95" t="inlineStr">
        <is>
          <t>FY2021</t>
        </is>
      </c>
      <c r="C7" s="46" t="n">
        <v>8.5</v>
      </c>
    </row>
    <row r="8">
      <c r="B8" s="95" t="inlineStr">
        <is>
          <t>FY2022</t>
        </is>
      </c>
      <c r="C8" s="46" t="n">
        <v>27.6</v>
      </c>
    </row>
    <row r="9">
      <c r="B9" s="95" t="inlineStr">
        <is>
          <t>FY2023</t>
        </is>
      </c>
      <c r="C9" s="46" t="n">
        <v>53.8</v>
      </c>
    </row>
    <row r="10">
      <c r="B10" s="95" t="inlineStr">
        <is>
          <t>FY2024</t>
        </is>
      </c>
      <c r="C10" s="46" t="n">
        <v>72.09999999999999</v>
      </c>
    </row>
    <row r="27">
      <c r="B27" s="3" t="inlineStr">
        <is>
          <t>FCFE PROJECTION (₹/share) – Two-Stage Model</t>
        </is>
      </c>
    </row>
    <row r="28">
      <c r="B28" s="20" t="inlineStr">
        <is>
          <t>Period</t>
        </is>
      </c>
      <c r="C28" s="20" t="inlineStr">
        <is>
          <t>FCFE (₹/sh)</t>
        </is>
      </c>
      <c r="D28" s="20" t="inlineStr">
        <is>
          <t>Phase</t>
        </is>
      </c>
    </row>
    <row r="29">
      <c r="B29" s="95" t="inlineStr">
        <is>
          <t>FY2024 (Base)</t>
        </is>
      </c>
      <c r="C29" s="46" t="n">
        <v>38.5</v>
      </c>
      <c r="D29" s="13" t="inlineStr">
        <is>
          <t>Base</t>
        </is>
      </c>
    </row>
    <row r="30">
      <c r="B30" s="95" t="inlineStr">
        <is>
          <t>Year 1</t>
        </is>
      </c>
      <c r="C30" s="46">
        <f>'4_FCFE Valuation'!C20</f>
        <v/>
      </c>
      <c r="D30" s="13" t="inlineStr">
        <is>
          <t>Stage 1</t>
        </is>
      </c>
    </row>
    <row r="31">
      <c r="B31" s="95" t="inlineStr">
        <is>
          <t>Year 2</t>
        </is>
      </c>
      <c r="C31" s="46">
        <f>'4_FCFE Valuation'!C21</f>
        <v/>
      </c>
      <c r="D31" s="13" t="inlineStr">
        <is>
          <t>Stage 1</t>
        </is>
      </c>
    </row>
    <row r="32">
      <c r="B32" s="95" t="inlineStr">
        <is>
          <t>Year 3</t>
        </is>
      </c>
      <c r="C32" s="46">
        <f>'4_FCFE Valuation'!C22</f>
        <v/>
      </c>
      <c r="D32" s="13" t="inlineStr">
        <is>
          <t>Stage 1</t>
        </is>
      </c>
    </row>
    <row r="33">
      <c r="B33" s="95" t="inlineStr">
        <is>
          <t>Year 4</t>
        </is>
      </c>
      <c r="C33" s="46">
        <f>'4_FCFE Valuation'!C23</f>
        <v/>
      </c>
      <c r="D33" s="13" t="inlineStr">
        <is>
          <t>Stage 1</t>
        </is>
      </c>
    </row>
    <row r="34">
      <c r="B34" s="95" t="inlineStr">
        <is>
          <t>Year 5</t>
        </is>
      </c>
      <c r="C34" s="46">
        <f>'4_FCFE Valuation'!C24</f>
        <v/>
      </c>
      <c r="D34" s="13" t="inlineStr">
        <is>
          <t>Stage 1 end</t>
        </is>
      </c>
    </row>
  </sheetData>
  <mergeCells count="3">
    <mergeCell ref="B27:D27"/>
    <mergeCell ref="B3:C3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2026-04-19T13:09:09Z</dcterms:created>
  <dcterms:modified xsi:type="dcterms:W3CDTF">2026-04-19T13:09:09Z</dcterms:modified>
</cp:coreProperties>
</file>